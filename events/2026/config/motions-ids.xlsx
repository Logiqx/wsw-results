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tions" sheetId="1" state="visible" r:id="rId3"/>
    <sheet name="scratch" sheetId="2" state="visible" r:id="rId4"/>
  </sheets>
  <definedNames>
    <definedName function="false" hidden="true" localSheetId="0" name="_xlnm._FilterDatabase" vbProcedure="false">motions!$A:$U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<sst xmlns="http://schemas.openxmlformats.org/spreadsheetml/2006/main" count="597" uniqueCount="276">
  <si>
    <t xml:space="preserve">ID</t>
  </si>
  <si>
    <t xml:space="preserve">Title</t>
  </si>
  <si>
    <t xml:space="preserve">First Name</t>
  </si>
  <si>
    <t xml:space="preserve">Family Name</t>
  </si>
  <si>
    <t xml:space="preserve">Youth Weekend</t>
  </si>
  <si>
    <t xml:space="preserve">UKWA Member</t>
  </si>
  <si>
    <t xml:space="preserve">Entrants Own Motion Mini</t>
  </si>
  <si>
    <t xml:space="preserve">Motion for Wingboard</t>
  </si>
  <si>
    <t xml:space="preserve">Motion for Sailboard (foil)</t>
  </si>
  <si>
    <t xml:space="preserve">Motion for Sailboard (fin)</t>
  </si>
  <si>
    <t xml:space="preserve">Motion for Kiteboard</t>
  </si>
  <si>
    <t xml:space="preserve">Motion for Boat</t>
  </si>
  <si>
    <t xml:space="preserve">Diff</t>
  </si>
  <si>
    <t xml:space="preserve">Craft</t>
  </si>
  <si>
    <t xml:space="preserve">Motion ID</t>
  </si>
  <si>
    <t xml:space="preserve">Motion Label</t>
  </si>
  <si>
    <t xml:space="preserve">Mr</t>
  </si>
  <si>
    <t xml:space="preserve">Michael</t>
  </si>
  <si>
    <t xml:space="preserve">George</t>
  </si>
  <si>
    <t xml:space="preserve">YES</t>
  </si>
  <si>
    <t xml:space="preserve">Sailboard (Foil) Motion</t>
  </si>
  <si>
    <t xml:space="preserve">Sailboard (Fin) Motion</t>
  </si>
  <si>
    <t xml:space="preserve">Simon</t>
  </si>
  <si>
    <t xml:space="preserve">Pettifer</t>
  </si>
  <si>
    <t xml:space="preserve">Miss</t>
  </si>
  <si>
    <t xml:space="preserve">Jenna</t>
  </si>
  <si>
    <t xml:space="preserve">Gibson</t>
  </si>
  <si>
    <t xml:space="preserve">Stacey</t>
  </si>
  <si>
    <t xml:space="preserve">Vass</t>
  </si>
  <si>
    <t xml:space="preserve">Kiteboard Motion</t>
  </si>
  <si>
    <t xml:space="preserve">Ms</t>
  </si>
  <si>
    <t xml:space="preserve">Aya</t>
  </si>
  <si>
    <t xml:space="preserve">Eiffel</t>
  </si>
  <si>
    <t xml:space="preserve">Dylan</t>
  </si>
  <si>
    <t xml:space="preserve">Chick</t>
  </si>
  <si>
    <t xml:space="preserve">NO</t>
  </si>
  <si>
    <t xml:space="preserve">Richard</t>
  </si>
  <si>
    <t xml:space="preserve">Henderson</t>
  </si>
  <si>
    <t xml:space="preserve">Rod</t>
  </si>
  <si>
    <t xml:space="preserve">Dickinson</t>
  </si>
  <si>
    <t xml:space="preserve">Wingboard Motion</t>
  </si>
  <si>
    <t xml:space="preserve">Jean-Marc</t>
  </si>
  <si>
    <t xml:space="preserve">De Bruyne</t>
  </si>
  <si>
    <t xml:space="preserve">Dudley</t>
  </si>
  <si>
    <t xml:space="preserve">Ben</t>
  </si>
  <si>
    <t xml:space="preserve">Meyerhoff</t>
  </si>
  <si>
    <t xml:space="preserve">Jez</t>
  </si>
  <si>
    <t xml:space="preserve">Milne</t>
  </si>
  <si>
    <t xml:space="preserve">Mark</t>
  </si>
  <si>
    <t xml:space="preserve">Reeves</t>
  </si>
  <si>
    <t xml:space="preserve">Rob</t>
  </si>
  <si>
    <t xml:space="preserve">Longstaff</t>
  </si>
  <si>
    <t xml:space="preserve">Mrs</t>
  </si>
  <si>
    <t xml:space="preserve">Kate</t>
  </si>
  <si>
    <t xml:space="preserve">Rogers</t>
  </si>
  <si>
    <t xml:space="preserve">Barry</t>
  </si>
  <si>
    <t xml:space="preserve">Smith</t>
  </si>
  <si>
    <t xml:space="preserve">Crosby</t>
  </si>
  <si>
    <t xml:space="preserve">Peter</t>
  </si>
  <si>
    <t xml:space="preserve">Barker</t>
  </si>
  <si>
    <t xml:space="preserve">Scott</t>
  </si>
  <si>
    <t xml:space="preserve">Mayhew</t>
  </si>
  <si>
    <t xml:space="preserve">Nikolaos</t>
  </si>
  <si>
    <t xml:space="preserve">Iliadis</t>
  </si>
  <si>
    <t xml:space="preserve">Ingram</t>
  </si>
  <si>
    <t xml:space="preserve">Jonathan</t>
  </si>
  <si>
    <t xml:space="preserve">Salvage</t>
  </si>
  <si>
    <t xml:space="preserve">Andrew</t>
  </si>
  <si>
    <t xml:space="preserve">Owen</t>
  </si>
  <si>
    <t xml:space="preserve">Matthew</t>
  </si>
  <si>
    <t xml:space="preserve">Lilley</t>
  </si>
  <si>
    <t xml:space="preserve">Denis</t>
  </si>
  <si>
    <t xml:space="preserve">Gordo</t>
  </si>
  <si>
    <t xml:space="preserve">Harrison</t>
  </si>
  <si>
    <t xml:space="preserve">Sian</t>
  </si>
  <si>
    <t xml:space="preserve">Neil</t>
  </si>
  <si>
    <t xml:space="preserve">Steve</t>
  </si>
  <si>
    <t xml:space="preserve">Watson</t>
  </si>
  <si>
    <t xml:space="preserve">Brendan</t>
  </si>
  <si>
    <t xml:space="preserve">Lorho</t>
  </si>
  <si>
    <t xml:space="preserve">Francois</t>
  </si>
  <si>
    <t xml:space="preserve">Fin</t>
  </si>
  <si>
    <t xml:space="preserve">Fulton</t>
  </si>
  <si>
    <t xml:space="preserve">Bob</t>
  </si>
  <si>
    <t xml:space="preserve">Spagnoletti</t>
  </si>
  <si>
    <t xml:space="preserve">Paul</t>
  </si>
  <si>
    <t xml:space="preserve">Arnold</t>
  </si>
  <si>
    <t xml:space="preserve">Thompson</t>
  </si>
  <si>
    <t xml:space="preserve">Joey</t>
  </si>
  <si>
    <t xml:space="preserve">Watts</t>
  </si>
  <si>
    <t xml:space="preserve">Christine</t>
  </si>
  <si>
    <t xml:space="preserve">Daffe</t>
  </si>
  <si>
    <t xml:space="preserve">Wills</t>
  </si>
  <si>
    <t xml:space="preserve">Ian</t>
  </si>
  <si>
    <t xml:space="preserve">Shellcock</t>
  </si>
  <si>
    <t xml:space="preserve">Emile</t>
  </si>
  <si>
    <t xml:space="preserve">Burnaby Lautier</t>
  </si>
  <si>
    <t xml:space="preserve">Pavel</t>
  </si>
  <si>
    <t xml:space="preserve">Dvoulety</t>
  </si>
  <si>
    <t xml:space="preserve">Robin</t>
  </si>
  <si>
    <t xml:space="preserve">Russell</t>
  </si>
  <si>
    <t xml:space="preserve">Boat Motion</t>
  </si>
  <si>
    <t xml:space="preserve">James</t>
  </si>
  <si>
    <t xml:space="preserve">Brake</t>
  </si>
  <si>
    <t xml:space="preserve">John</t>
  </si>
  <si>
    <t xml:space="preserve">Oliver</t>
  </si>
  <si>
    <t xml:space="preserve">Anthony</t>
  </si>
  <si>
    <t xml:space="preserve">Barber</t>
  </si>
  <si>
    <t xml:space="preserve">Martin</t>
  </si>
  <si>
    <t xml:space="preserve">Bernie</t>
  </si>
  <si>
    <t xml:space="preserve">Collenette</t>
  </si>
  <si>
    <t xml:space="preserve">Anna</t>
  </si>
  <si>
    <t xml:space="preserve">Arlo</t>
  </si>
  <si>
    <t xml:space="preserve">Garry</t>
  </si>
  <si>
    <t xml:space="preserve">Connell</t>
  </si>
  <si>
    <t xml:space="preserve">Dinsmore</t>
  </si>
  <si>
    <t xml:space="preserve">Will</t>
  </si>
  <si>
    <t xml:space="preserve">Trossell</t>
  </si>
  <si>
    <t xml:space="preserve">Dave</t>
  </si>
  <si>
    <t xml:space="preserve">Williams</t>
  </si>
  <si>
    <t xml:space="preserve">Palmer</t>
  </si>
  <si>
    <t xml:space="preserve">Sanderson</t>
  </si>
  <si>
    <t xml:space="preserve">Newman</t>
  </si>
  <si>
    <t xml:space="preserve">Eddie</t>
  </si>
  <si>
    <t xml:space="preserve">Marsh</t>
  </si>
  <si>
    <t xml:space="preserve">Andy</t>
  </si>
  <si>
    <t xml:space="preserve">Stuart-William</t>
  </si>
  <si>
    <t xml:space="preserve">Longmuir</t>
  </si>
  <si>
    <t xml:space="preserve">Jonny</t>
  </si>
  <si>
    <t xml:space="preserve">Kirton</t>
  </si>
  <si>
    <t xml:space="preserve">Jim</t>
  </si>
  <si>
    <t xml:space="preserve">Crossley</t>
  </si>
  <si>
    <t xml:space="preserve">Jack</t>
  </si>
  <si>
    <t xml:space="preserve">Norman</t>
  </si>
  <si>
    <t xml:space="preserve">Seb</t>
  </si>
  <si>
    <t xml:space="preserve">Camaret</t>
  </si>
  <si>
    <t xml:space="preserve">Hill</t>
  </si>
  <si>
    <t xml:space="preserve">Twinn</t>
  </si>
  <si>
    <t xml:space="preserve">Tim</t>
  </si>
  <si>
    <t xml:space="preserve">Humphreys</t>
  </si>
  <si>
    <t xml:space="preserve">Goodwin</t>
  </si>
  <si>
    <t xml:space="preserve">Trevor</t>
  </si>
  <si>
    <t xml:space="preserve">Whatford</t>
  </si>
  <si>
    <t xml:space="preserve">Kiernan</t>
  </si>
  <si>
    <t xml:space="preserve">Iain</t>
  </si>
  <si>
    <t xml:space="preserve">Neary</t>
  </si>
  <si>
    <t xml:space="preserve">martin</t>
  </si>
  <si>
    <t xml:space="preserve">carter</t>
  </si>
  <si>
    <t xml:space="preserve">Shane</t>
  </si>
  <si>
    <t xml:space="preserve">Verrion</t>
  </si>
  <si>
    <t xml:space="preserve">Bran</t>
  </si>
  <si>
    <t xml:space="preserve">Allan</t>
  </si>
  <si>
    <t xml:space="preserve">Cross</t>
  </si>
  <si>
    <t xml:space="preserve">Jay</t>
  </si>
  <si>
    <t xml:space="preserve">Miller</t>
  </si>
  <si>
    <t xml:space="preserve">Penna</t>
  </si>
  <si>
    <t xml:space="preserve">Davison</t>
  </si>
  <si>
    <t xml:space="preserve">Mitchell</t>
  </si>
  <si>
    <t xml:space="preserve">Vickers</t>
  </si>
  <si>
    <t xml:space="preserve">Oscar</t>
  </si>
  <si>
    <t xml:space="preserve">Dempsey</t>
  </si>
  <si>
    <t xml:space="preserve">Sam</t>
  </si>
  <si>
    <t xml:space="preserve">Latham</t>
  </si>
  <si>
    <t xml:space="preserve">Scotty</t>
  </si>
  <si>
    <t xml:space="preserve">Stallman</t>
  </si>
  <si>
    <t xml:space="preserve">Maciej</t>
  </si>
  <si>
    <t xml:space="preserve">Bukholt</t>
  </si>
  <si>
    <t xml:space="preserve">Hobson</t>
  </si>
  <si>
    <t xml:space="preserve">Motion 4871</t>
  </si>
  <si>
    <t xml:space="preserve">Motion 871</t>
  </si>
  <si>
    <t xml:space="preserve">Motion 4822</t>
  </si>
  <si>
    <t xml:space="preserve">Motion 822</t>
  </si>
  <si>
    <t xml:space="preserve">Motion 4935</t>
  </si>
  <si>
    <t xml:space="preserve">Motion 935</t>
  </si>
  <si>
    <t xml:space="preserve">Motion 665</t>
  </si>
  <si>
    <t xml:space="preserve">Motion 662</t>
  </si>
  <si>
    <t xml:space="preserve">Motion 4873</t>
  </si>
  <si>
    <t xml:space="preserve">Motion 873</t>
  </si>
  <si>
    <t xml:space="preserve">Motion 870</t>
  </si>
  <si>
    <t xml:space="preserve">Motion 940</t>
  </si>
  <si>
    <t xml:space="preserve">Motion 802</t>
  </si>
  <si>
    <t xml:space="preserve">Motion 4978</t>
  </si>
  <si>
    <t xml:space="preserve">Motion 978</t>
  </si>
  <si>
    <t xml:space="preserve">Motion 1045</t>
  </si>
  <si>
    <t xml:space="preserve">Motion 642</t>
  </si>
  <si>
    <t xml:space="preserve">Motion 813</t>
  </si>
  <si>
    <t xml:space="preserve">Motion 4805</t>
  </si>
  <si>
    <t xml:space="preserve">Motion 805</t>
  </si>
  <si>
    <t xml:space="preserve">Motion 632</t>
  </si>
  <si>
    <t xml:space="preserve">Motion 855</t>
  </si>
  <si>
    <t xml:space="preserve">Motion 824</t>
  </si>
  <si>
    <t xml:space="preserve">Motion 4952</t>
  </si>
  <si>
    <t xml:space="preserve">Motion 952</t>
  </si>
  <si>
    <t xml:space="preserve">Motion 849</t>
  </si>
  <si>
    <t xml:space="preserve">Motion 806</t>
  </si>
  <si>
    <t xml:space="preserve">Motion 4807</t>
  </si>
  <si>
    <t xml:space="preserve">Motion 807</t>
  </si>
  <si>
    <t xml:space="preserve">Motion 4801</t>
  </si>
  <si>
    <t xml:space="preserve">Motion 801</t>
  </si>
  <si>
    <t xml:space="preserve">Motion 1043</t>
  </si>
  <si>
    <t xml:space="preserve">Motion 4841</t>
  </si>
  <si>
    <t xml:space="preserve">Motion 841</t>
  </si>
  <si>
    <t xml:space="preserve">Motion 808</t>
  </si>
  <si>
    <t xml:space="preserve">Motion 804</t>
  </si>
  <si>
    <t xml:space="preserve">Motion 707</t>
  </si>
  <si>
    <t xml:space="preserve">Motion 852</t>
  </si>
  <si>
    <t xml:space="preserve">Motion 861</t>
  </si>
  <si>
    <t xml:space="preserve">Motion 1039</t>
  </si>
  <si>
    <t xml:space="preserve">Motion 845</t>
  </si>
  <si>
    <t xml:space="preserve">Motion 4872</t>
  </si>
  <si>
    <t xml:space="preserve">Motion 872</t>
  </si>
  <si>
    <t xml:space="preserve">Motion 1037</t>
  </si>
  <si>
    <t xml:space="preserve">Motion 4998</t>
  </si>
  <si>
    <t xml:space="preserve">Motion 998</t>
  </si>
  <si>
    <t xml:space="preserve">Motion 623</t>
  </si>
  <si>
    <t xml:space="preserve">Motion 815</t>
  </si>
  <si>
    <t xml:space="preserve">Motion 1033</t>
  </si>
  <si>
    <t xml:space="preserve">Motion 838</t>
  </si>
  <si>
    <t xml:space="preserve">Motion 819</t>
  </si>
  <si>
    <t xml:space="preserve">Motion 853</t>
  </si>
  <si>
    <t xml:space="preserve">Motion 814</t>
  </si>
  <si>
    <t xml:space="preserve">Motion 643</t>
  </si>
  <si>
    <t xml:space="preserve">Motion 846</t>
  </si>
  <si>
    <t xml:space="preserve">Motion 4854</t>
  </si>
  <si>
    <t xml:space="preserve">Motion 854</t>
  </si>
  <si>
    <t xml:space="preserve">Motion 641</t>
  </si>
  <si>
    <t xml:space="preserve">Motion 1641</t>
  </si>
  <si>
    <t xml:space="preserve">Motion 1020</t>
  </si>
  <si>
    <t xml:space="preserve">Motion 858</t>
  </si>
  <si>
    <t xml:space="preserve">Motion 869</t>
  </si>
  <si>
    <t xml:space="preserve">Motion 618</t>
  </si>
  <si>
    <t xml:space="preserve">Motion 827</t>
  </si>
  <si>
    <t xml:space="preserve">Motion 639</t>
  </si>
  <si>
    <t xml:space="preserve">Motion 611</t>
  </si>
  <si>
    <t xml:space="preserve">Motion 826</t>
  </si>
  <si>
    <t xml:space="preserve">Motion 4821</t>
  </si>
  <si>
    <t xml:space="preserve">Motion 821</t>
  </si>
  <si>
    <t xml:space="preserve">Motion 4812</t>
  </si>
  <si>
    <t xml:space="preserve">Motion 812</t>
  </si>
  <si>
    <t xml:space="preserve">Motion 829</t>
  </si>
  <si>
    <t xml:space="preserve">Motion 5669</t>
  </si>
  <si>
    <t xml:space="preserve">Motion 2669</t>
  </si>
  <si>
    <t xml:space="preserve">Motion 920</t>
  </si>
  <si>
    <t xml:space="preserve">Motion 631</t>
  </si>
  <si>
    <t xml:space="preserve">Motion 4810</t>
  </si>
  <si>
    <t xml:space="preserve">Motion 810</t>
  </si>
  <si>
    <t xml:space="preserve">Motion 817</t>
  </si>
  <si>
    <t xml:space="preserve">Motion 803</t>
  </si>
  <si>
    <t xml:space="preserve">Motion 699</t>
  </si>
  <si>
    <t xml:space="preserve">Motion 656</t>
  </si>
  <si>
    <t xml:space="preserve">Motion 651</t>
  </si>
  <si>
    <t xml:space="preserve">Motion 836</t>
  </si>
  <si>
    <t xml:space="preserve">Motion 818</t>
  </si>
  <si>
    <t xml:space="preserve">Motion 816</t>
  </si>
  <si>
    <t xml:space="preserve">Motion 4942</t>
  </si>
  <si>
    <t xml:space="preserve">Motion 942</t>
  </si>
  <si>
    <t xml:space="preserve">Motion 701</t>
  </si>
  <si>
    <t xml:space="preserve">Motion 718</t>
  </si>
  <si>
    <t xml:space="preserve">Motion 4833</t>
  </si>
  <si>
    <t xml:space="preserve">Motion 833</t>
  </si>
  <si>
    <t xml:space="preserve">Motion 811</t>
  </si>
  <si>
    <t xml:space="preserve">Motion 1002</t>
  </si>
  <si>
    <t xml:space="preserve">Motion 647</t>
  </si>
  <si>
    <t xml:space="preserve">Motion 1040</t>
  </si>
  <si>
    <t xml:space="preserve">Motion 676</t>
  </si>
  <si>
    <t xml:space="preserve">Motion 660</t>
  </si>
  <si>
    <t xml:space="preserve">Motion 704</t>
  </si>
  <si>
    <t xml:space="preserve">Motion 661</t>
  </si>
  <si>
    <t xml:space="preserve">Motion 4866</t>
  </si>
  <si>
    <t xml:space="preserve">Motion 866</t>
  </si>
  <si>
    <t xml:space="preserve">Motion 825</t>
  </si>
  <si>
    <t xml:space="preserve">Motion 633</t>
  </si>
  <si>
    <t xml:space="preserve">Motion 695</t>
  </si>
  <si>
    <t xml:space="preserve">Motion 2695</t>
  </si>
  <si>
    <t xml:space="preserve">Motion 823</t>
  </si>
  <si>
    <t xml:space="preserve">Motion 601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</si>
</sst>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 tint="-0.35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0" tint="-0.35"/>
      <name val="Aptos Narrow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5" tint="0.7998"/>
        <bgColor rgb="FFFFFFFF"/>
      </patternFill>
    </fill>
    <fill>
      <patternFill patternType="solid">
        <fgColor theme="6" tint="0.7998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5" tint="0.3998"/>
        <bgColor rgb="FFFF99CC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2AA84"/>
          <bgColor rgb="FF000000"/>
        </patternFill>
      </fill>
    </dxf>
    <dxf>
      <fill>
        <patternFill patternType="solid">
          <fgColor rgb="FFC2F1C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3" activePane="bottomLeft" state="frozen"/>
      <selection pane="topLeft" activeCell="A1" activeCellId="0" sqref="A1"/>
      <selection pane="bottomLeft" activeCell="A98" activeCellId="0" sqref="A98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5.29"/>
    <col collapsed="false" customWidth="true" hidden="false" outlineLevel="0" max="2" min="2" style="0" width="7.29"/>
    <col collapsed="false" customWidth="true" hidden="false" outlineLevel="0" max="3" min="3" style="0" width="13"/>
    <col collapsed="false" customWidth="true" hidden="false" outlineLevel="0" max="4" min="4" style="0" width="14.86"/>
    <col collapsed="false" customWidth="true" hidden="false" outlineLevel="0" max="7" min="5" style="1" width="9.14"/>
    <col collapsed="false" customWidth="true" hidden="false" outlineLevel="0" max="12" min="8" style="2" width="10.71"/>
    <col collapsed="false" customWidth="true" hidden="false" outlineLevel="0" max="14" min="13" style="3" width="11.14"/>
    <col collapsed="false" customWidth="true" hidden="false" outlineLevel="0" max="15" min="15" style="3" width="14.29"/>
    <col collapsed="false" customWidth="true" hidden="false" outlineLevel="0" max="16" min="16" style="3" width="17.14"/>
    <col collapsed="false" customWidth="true" hidden="false" outlineLevel="0" max="17" min="17" style="4" width="13.29"/>
    <col collapsed="false" customWidth="true" hidden="false" outlineLevel="0" max="18" min="18" style="4" width="12.14"/>
    <col collapsed="false" customWidth="true" hidden="false" outlineLevel="0" max="21" min="19" style="4" width="13.29"/>
  </cols>
  <sheetData>
    <row r="1" s="5" customFormat="true" ht="1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9" t="s">
        <v>7</v>
      </c>
      <c r="R1" s="9" t="s">
        <v>8</v>
      </c>
      <c r="S1" s="9" t="s">
        <v>9</v>
      </c>
      <c r="T1" s="9" t="s">
        <v>10</v>
      </c>
      <c r="U1" s="9" t="s">
        <v>11</v>
      </c>
    </row>
    <row r="2" customFormat="false" ht="15" hidden="false" customHeight="false" outlineLevel="0" collapsed="false">
      <c r="A2" s="0" t="n">
        <v>13</v>
      </c>
      <c r="B2" s="0" t="s">
        <v>16</v>
      </c>
      <c r="C2" s="0" t="s">
        <v>17</v>
      </c>
      <c r="D2" s="0" t="s">
        <v>18</v>
      </c>
      <c r="F2" s="1" t="s">
        <v>19</v>
      </c>
      <c r="I2" s="2" t="s">
        <v>20</v>
      </c>
      <c r="J2" s="2" t="s">
        <v>21</v>
      </c>
      <c r="N2" s="3" t="n">
        <f aca="false">COUNTA(H2:L2)</f>
        <v>2</v>
      </c>
      <c r="O2" s="3" t="n">
        <v>871</v>
      </c>
      <c r="P2" s="3" t="str">
        <f aca="false">UPPER(_xlfn.CONCAT(LEFT(D2,3),O2,LEFT(C2,3)))</f>
        <v>GEO871MIC</v>
      </c>
      <c r="Q2" s="4" t="str">
        <f aca="false">IF(H2&lt;&gt;"", _xlfn.CONCAT("Motion ",IF($N2&gt;1,"5",""),$O2), "")</f>
        <v/>
      </c>
      <c r="R2" s="4" t="str">
        <f aca="false">IF(I2&lt;&gt;"", _xlfn.CONCAT("Motion ",IF($N2&gt;1,"4",""),$O2), "")</f>
        <v>Motion 4871</v>
      </c>
      <c r="S2" s="4" t="str">
        <f aca="false">IF(J2&lt;&gt;"", _xlfn.CONCAT("Motion ",$O2), "")</f>
        <v>Motion 871</v>
      </c>
      <c r="T2" s="4" t="str">
        <f aca="false">IF(K2&lt;&gt;"", _xlfn.CONCAT("Motion ",IF($N2&gt;1,"2",""),$O2), "")</f>
        <v/>
      </c>
      <c r="U2" s="4" t="str">
        <f aca="false">IF(L2&lt;&gt;"", _xlfn.CONCAT("Motion ",IF($N2&gt;1,"1",""),$O2), "")</f>
        <v/>
      </c>
    </row>
    <row r="3" customFormat="false" ht="15" hidden="false" customHeight="false" outlineLevel="0" collapsed="false">
      <c r="A3" s="0" t="n">
        <v>14</v>
      </c>
      <c r="B3" s="0" t="s">
        <v>16</v>
      </c>
      <c r="C3" s="0" t="s">
        <v>22</v>
      </c>
      <c r="D3" s="0" t="s">
        <v>23</v>
      </c>
      <c r="F3" s="1" t="s">
        <v>19</v>
      </c>
      <c r="G3" s="10"/>
      <c r="I3" s="2" t="s">
        <v>20</v>
      </c>
      <c r="J3" s="2" t="s">
        <v>21</v>
      </c>
      <c r="M3" s="3" t="str">
        <f aca="false">IF(A3-A2&lt;&gt;1,A3-A2,"")</f>
        <v/>
      </c>
      <c r="N3" s="3" t="n">
        <f aca="false">COUNTA(H3:L3)</f>
        <v>2</v>
      </c>
      <c r="O3" s="3" t="n">
        <v>822</v>
      </c>
      <c r="P3" s="3" t="str">
        <f aca="false">UPPER(_xlfn.CONCAT(LEFT(D3,3),O3,LEFT(C3,3)))</f>
        <v>PET822SIM</v>
      </c>
      <c r="Q3" s="4" t="str">
        <f aca="false">IF(H3&lt;&gt;"", _xlfn.CONCAT("Motion ",IF($N3&gt;1,"5",""),$O3), "")</f>
        <v/>
      </c>
      <c r="R3" s="4" t="str">
        <f aca="false">IF(I3&lt;&gt;"", _xlfn.CONCAT("Motion ",IF($N3&gt;1,"4",""),$O3), "")</f>
        <v>Motion 4822</v>
      </c>
      <c r="S3" s="4" t="str">
        <f aca="false">IF(J3&lt;&gt;"", _xlfn.CONCAT("Motion ",$O3), "")</f>
        <v>Motion 822</v>
      </c>
      <c r="T3" s="4" t="str">
        <f aca="false">IF(K3&lt;&gt;"", _xlfn.CONCAT("Motion ",IF($N3&gt;1,"2",""),$O3), "")</f>
        <v/>
      </c>
      <c r="U3" s="4" t="str">
        <f aca="false">IF(L3&lt;&gt;"", _xlfn.CONCAT("Motion ",IF($N3&gt;1,"1",""),$O3), "")</f>
        <v/>
      </c>
    </row>
    <row r="4" customFormat="false" ht="15" hidden="false" customHeight="false" outlineLevel="0" collapsed="false">
      <c r="A4" s="0" t="n">
        <v>15</v>
      </c>
      <c r="B4" s="0" t="s">
        <v>24</v>
      </c>
      <c r="C4" s="0" t="s">
        <v>25</v>
      </c>
      <c r="D4" s="0" t="s">
        <v>26</v>
      </c>
      <c r="F4" s="1" t="s">
        <v>19</v>
      </c>
      <c r="G4" s="10"/>
      <c r="I4" s="2" t="s">
        <v>20</v>
      </c>
      <c r="J4" s="2" t="s">
        <v>21</v>
      </c>
      <c r="M4" s="3" t="str">
        <f aca="false">IF(A4-A3&lt;&gt;1,A4-A3,"")</f>
        <v/>
      </c>
      <c r="N4" s="3" t="n">
        <f aca="false">COUNTA(H4:L4)</f>
        <v>2</v>
      </c>
      <c r="O4" s="3" t="n">
        <v>935</v>
      </c>
      <c r="P4" s="3" t="str">
        <f aca="false">UPPER(_xlfn.CONCAT(LEFT(D4,3),O4,LEFT(C4,3)))</f>
        <v>GIB935JEN</v>
      </c>
      <c r="Q4" s="4" t="str">
        <f aca="false">IF(H4&lt;&gt;"", _xlfn.CONCAT("Motion ",IF($N4&gt;1,"5",""),$O4), "")</f>
        <v/>
      </c>
      <c r="R4" s="4" t="str">
        <f aca="false">IF(I4&lt;&gt;"", _xlfn.CONCAT("Motion ",IF($N4&gt;1,"4",""),$O4), "")</f>
        <v>Motion 4935</v>
      </c>
      <c r="S4" s="4" t="str">
        <f aca="false">IF(J4&lt;&gt;"", _xlfn.CONCAT("Motion ",$O4), "")</f>
        <v>Motion 935</v>
      </c>
      <c r="T4" s="4" t="str">
        <f aca="false">IF(K4&lt;&gt;"", _xlfn.CONCAT("Motion ",IF($N4&gt;1,"2",""),$O4), "")</f>
        <v/>
      </c>
      <c r="U4" s="4" t="str">
        <f aca="false">IF(L4&lt;&gt;"", _xlfn.CONCAT("Motion ",IF($N4&gt;1,"1",""),$O4), "")</f>
        <v/>
      </c>
    </row>
    <row r="5" customFormat="false" ht="15" hidden="false" customHeight="false" outlineLevel="0" collapsed="false">
      <c r="A5" s="0" t="n">
        <v>16</v>
      </c>
      <c r="B5" s="0" t="s">
        <v>16</v>
      </c>
      <c r="C5" s="0" t="s">
        <v>27</v>
      </c>
      <c r="D5" s="0" t="s">
        <v>28</v>
      </c>
      <c r="K5" s="2" t="s">
        <v>29</v>
      </c>
      <c r="M5" s="3" t="str">
        <f aca="false">IF(A5-A4&lt;&gt;1,A5-A4,"")</f>
        <v/>
      </c>
      <c r="N5" s="3" t="n">
        <f aca="false">COUNTA(H5:L5)</f>
        <v>1</v>
      </c>
      <c r="O5" s="3" t="n">
        <v>665</v>
      </c>
      <c r="P5" s="3" t="str">
        <f aca="false">UPPER(_xlfn.CONCAT(LEFT(D5,3),O5,LEFT(C5,3)))</f>
        <v>VAS665STA</v>
      </c>
      <c r="Q5" s="4" t="str">
        <f aca="false">IF(H5&lt;&gt;"", _xlfn.CONCAT("Motion ",IF($N5&gt;1,"5",""),$O5), "")</f>
        <v/>
      </c>
      <c r="R5" s="4" t="str">
        <f aca="false">IF(I5&lt;&gt;"", _xlfn.CONCAT("Motion ",IF($N5&gt;1,"4",""),$O5), "")</f>
        <v/>
      </c>
      <c r="S5" s="4" t="str">
        <f aca="false">IF(J5&lt;&gt;"", _xlfn.CONCAT("Motion ",$O5), "")</f>
        <v/>
      </c>
      <c r="T5" s="4" t="str">
        <f aca="false">IF(K5&lt;&gt;"", _xlfn.CONCAT("Motion ",IF($N5&gt;1,"2",""),$O5), "")</f>
        <v>Motion 665</v>
      </c>
      <c r="U5" s="4" t="str">
        <f aca="false">IF(L5&lt;&gt;"", _xlfn.CONCAT("Motion ",IF($N5&gt;1,"1",""),$O5), "")</f>
        <v/>
      </c>
    </row>
    <row r="6" customFormat="false" ht="15" hidden="false" customHeight="false" outlineLevel="0" collapsed="false">
      <c r="A6" s="0" t="n">
        <v>17</v>
      </c>
      <c r="B6" s="0" t="s">
        <v>30</v>
      </c>
      <c r="C6" s="0" t="s">
        <v>31</v>
      </c>
      <c r="D6" s="0" t="s">
        <v>32</v>
      </c>
      <c r="K6" s="2" t="s">
        <v>29</v>
      </c>
      <c r="M6" s="3" t="str">
        <f aca="false">IF(A6-A5&lt;&gt;1,A6-A5,"")</f>
        <v/>
      </c>
      <c r="N6" s="3" t="n">
        <f aca="false">COUNTA(H6:L6)</f>
        <v>1</v>
      </c>
      <c r="O6" s="3" t="n">
        <v>662</v>
      </c>
      <c r="P6" s="3" t="str">
        <f aca="false">UPPER(_xlfn.CONCAT(LEFT(D6,3),O6,LEFT(C6,3)))</f>
        <v>EIF662AYA</v>
      </c>
      <c r="Q6" s="4" t="str">
        <f aca="false">IF(H6&lt;&gt;"", _xlfn.CONCAT("Motion ",IF($N6&gt;1,"5",""),$O6), "")</f>
        <v/>
      </c>
      <c r="R6" s="4" t="str">
        <f aca="false">IF(I6&lt;&gt;"", _xlfn.CONCAT("Motion ",IF($N6&gt;1,"4",""),$O6), "")</f>
        <v/>
      </c>
      <c r="S6" s="4" t="str">
        <f aca="false">IF(J6&lt;&gt;"", _xlfn.CONCAT("Motion ",$O6), "")</f>
        <v/>
      </c>
      <c r="T6" s="4" t="str">
        <f aca="false">IF(K6&lt;&gt;"", _xlfn.CONCAT("Motion ",IF($N6&gt;1,"2",""),$O6), "")</f>
        <v>Motion 662</v>
      </c>
      <c r="U6" s="4" t="str">
        <f aca="false">IF(L6&lt;&gt;"", _xlfn.CONCAT("Motion ",IF($N6&gt;1,"1",""),$O6), "")</f>
        <v/>
      </c>
    </row>
    <row r="7" customFormat="false" ht="15" hidden="false" customHeight="false" outlineLevel="0" collapsed="false">
      <c r="A7" s="0" t="n">
        <v>18</v>
      </c>
      <c r="B7" s="0" t="s">
        <v>16</v>
      </c>
      <c r="C7" s="0" t="s">
        <v>33</v>
      </c>
      <c r="D7" s="0" t="s">
        <v>34</v>
      </c>
      <c r="E7" s="1" t="s">
        <v>19</v>
      </c>
      <c r="F7" s="1" t="s">
        <v>35</v>
      </c>
      <c r="I7" s="2" t="s">
        <v>20</v>
      </c>
      <c r="J7" s="2" t="s">
        <v>21</v>
      </c>
      <c r="M7" s="3" t="str">
        <f aca="false">IF(A7-A6&lt;&gt;1,A7-A6,"")</f>
        <v/>
      </c>
      <c r="N7" s="3" t="n">
        <f aca="false">COUNTA(H7:L7)</f>
        <v>2</v>
      </c>
      <c r="O7" s="3" t="n">
        <v>873</v>
      </c>
      <c r="P7" s="3" t="str">
        <f aca="false">UPPER(_xlfn.CONCAT(LEFT(D7,3),O7,LEFT(C7,3)))</f>
        <v>CHI873DYL</v>
      </c>
      <c r="Q7" s="4" t="str">
        <f aca="false">IF(H7&lt;&gt;"", _xlfn.CONCAT("Motion ",IF($N7&gt;1,"5",""),$O7), "")</f>
        <v/>
      </c>
      <c r="R7" s="4" t="str">
        <f aca="false">IF(I7&lt;&gt;"", _xlfn.CONCAT("Motion ",IF($N7&gt;1,"4",""),$O7), "")</f>
        <v>Motion 4873</v>
      </c>
      <c r="S7" s="4" t="str">
        <f aca="false">IF(J7&lt;&gt;"", _xlfn.CONCAT("Motion ",$O7), "")</f>
        <v>Motion 873</v>
      </c>
      <c r="T7" s="4" t="str">
        <f aca="false">IF(K7&lt;&gt;"", _xlfn.CONCAT("Motion ",IF($N7&gt;1,"2",""),$O7), "")</f>
        <v/>
      </c>
      <c r="U7" s="4" t="str">
        <f aca="false">IF(L7&lt;&gt;"", _xlfn.CONCAT("Motion ",IF($N7&gt;1,"1",""),$O7), "")</f>
        <v/>
      </c>
    </row>
    <row r="8" customFormat="false" ht="15" hidden="false" customHeight="false" outlineLevel="0" collapsed="false">
      <c r="A8" s="0" t="n">
        <v>19</v>
      </c>
      <c r="B8" s="0" t="s">
        <v>16</v>
      </c>
      <c r="C8" s="0" t="s">
        <v>36</v>
      </c>
      <c r="D8" s="0" t="s">
        <v>37</v>
      </c>
      <c r="F8" s="1" t="s">
        <v>35</v>
      </c>
      <c r="J8" s="2" t="s">
        <v>21</v>
      </c>
      <c r="M8" s="3" t="str">
        <f aca="false">IF(A8-A7&lt;&gt;1,A8-A7,"")</f>
        <v/>
      </c>
      <c r="N8" s="3" t="n">
        <f aca="false">COUNTA(H8:L8)</f>
        <v>1</v>
      </c>
      <c r="O8" s="3" t="n">
        <v>870</v>
      </c>
      <c r="P8" s="3" t="str">
        <f aca="false">UPPER(_xlfn.CONCAT(LEFT(D8,3),O8,LEFT(C8,3)))</f>
        <v>HEN870RIC</v>
      </c>
      <c r="Q8" s="4" t="str">
        <f aca="false">IF(H8&lt;&gt;"", _xlfn.CONCAT("Motion ",IF($N8&gt;1,"5",""),$O8), "")</f>
        <v/>
      </c>
      <c r="R8" s="4" t="str">
        <f aca="false">IF(I8&lt;&gt;"", _xlfn.CONCAT("Motion ",IF($N8&gt;1,"4",""),$O8), "")</f>
        <v/>
      </c>
      <c r="S8" s="4" t="str">
        <f aca="false">IF(J8&lt;&gt;"", _xlfn.CONCAT("Motion ",$O8), "")</f>
        <v>Motion 870</v>
      </c>
      <c r="T8" s="4" t="str">
        <f aca="false">IF(K8&lt;&gt;"", _xlfn.CONCAT("Motion ",IF($N8&gt;1,"2",""),$O8), "")</f>
        <v/>
      </c>
      <c r="U8" s="4" t="str">
        <f aca="false">IF(L8&lt;&gt;"", _xlfn.CONCAT("Motion ",IF($N8&gt;1,"1",""),$O8), "")</f>
        <v/>
      </c>
    </row>
    <row r="9" customFormat="false" ht="15" hidden="false" customHeight="false" outlineLevel="0" collapsed="false">
      <c r="A9" s="0" t="n">
        <v>20</v>
      </c>
      <c r="B9" s="0" t="s">
        <v>16</v>
      </c>
      <c r="C9" s="0" t="s">
        <v>38</v>
      </c>
      <c r="D9" s="0" t="s">
        <v>39</v>
      </c>
      <c r="F9" s="1" t="s">
        <v>19</v>
      </c>
      <c r="G9" s="10" t="n">
        <v>940</v>
      </c>
      <c r="H9" s="2" t="s">
        <v>40</v>
      </c>
      <c r="M9" s="3" t="str">
        <f aca="false">IF(A9-A8&lt;&gt;1,A9-A8,"")</f>
        <v/>
      </c>
      <c r="N9" s="3" t="n">
        <f aca="false">COUNTA(H9:L9)</f>
        <v>1</v>
      </c>
      <c r="O9" s="11" t="n">
        <v>940</v>
      </c>
      <c r="P9" s="3" t="str">
        <f aca="false">UPPER(_xlfn.CONCAT(LEFT(D9,3),O9,LEFT(C9,3)))</f>
        <v>DIC940ROD</v>
      </c>
      <c r="Q9" s="4" t="str">
        <f aca="false">IF(H9&lt;&gt;"", _xlfn.CONCAT("Motion ",IF($N9&gt;1,"5",""),$O9), "")</f>
        <v>Motion 940</v>
      </c>
      <c r="R9" s="4" t="str">
        <f aca="false">IF(I9&lt;&gt;"", _xlfn.CONCAT("Motion ",IF($N9&gt;1,"4",""),$O9), "")</f>
        <v/>
      </c>
      <c r="S9" s="4" t="str">
        <f aca="false">IF(J9&lt;&gt;"", _xlfn.CONCAT("Motion ",$O9), "")</f>
        <v/>
      </c>
      <c r="T9" s="4" t="str">
        <f aca="false">IF(K9&lt;&gt;"", _xlfn.CONCAT("Motion ",IF($N9&gt;1,"2",""),$O9), "")</f>
        <v/>
      </c>
      <c r="U9" s="4" t="str">
        <f aca="false">IF(L9&lt;&gt;"", _xlfn.CONCAT("Motion ",IF($N9&gt;1,"1",""),$O9), "")</f>
        <v/>
      </c>
    </row>
    <row r="10" customFormat="false" ht="15" hidden="false" customHeight="false" outlineLevel="0" collapsed="false">
      <c r="A10" s="0" t="n">
        <v>21</v>
      </c>
      <c r="B10" s="0" t="s">
        <v>16</v>
      </c>
      <c r="C10" s="0" t="s">
        <v>41</v>
      </c>
      <c r="D10" s="0" t="s">
        <v>42</v>
      </c>
      <c r="F10" s="1" t="s">
        <v>35</v>
      </c>
      <c r="J10" s="2" t="s">
        <v>21</v>
      </c>
      <c r="M10" s="3" t="str">
        <f aca="false">IF(A10-A9&lt;&gt;1,A10-A9,"")</f>
        <v/>
      </c>
      <c r="N10" s="3" t="n">
        <f aca="false">COUNTA(H10:L10)</f>
        <v>1</v>
      </c>
      <c r="O10" s="3" t="n">
        <v>802</v>
      </c>
      <c r="P10" s="3" t="str">
        <f aca="false">UPPER(_xlfn.CONCAT("BRU",O10,LEFT(C10,3)))</f>
        <v>BRU802JEA</v>
      </c>
      <c r="Q10" s="4" t="str">
        <f aca="false">IF(H10&lt;&gt;"", _xlfn.CONCAT("Motion ",IF($N10&gt;1,"5",""),$O10), "")</f>
        <v/>
      </c>
      <c r="R10" s="4" t="str">
        <f aca="false">IF(I10&lt;&gt;"", _xlfn.CONCAT("Motion ",IF($N10&gt;1,"4",""),$O10), "")</f>
        <v/>
      </c>
      <c r="S10" s="4" t="str">
        <f aca="false">IF(J10&lt;&gt;"", _xlfn.CONCAT("Motion ",$O10), "")</f>
        <v>Motion 802</v>
      </c>
      <c r="T10" s="4" t="str">
        <f aca="false">IF(K10&lt;&gt;"", _xlfn.CONCAT("Motion ",IF($N10&gt;1,"2",""),$O10), "")</f>
        <v/>
      </c>
      <c r="U10" s="4" t="str">
        <f aca="false">IF(L10&lt;&gt;"", _xlfn.CONCAT("Motion ",IF($N10&gt;1,"1",""),$O10), "")</f>
        <v/>
      </c>
    </row>
    <row r="11" customFormat="false" ht="15" hidden="false" customHeight="false" outlineLevel="0" collapsed="false">
      <c r="A11" s="0" t="n">
        <v>22</v>
      </c>
      <c r="B11" s="0" t="s">
        <v>16</v>
      </c>
      <c r="C11" s="0" t="s">
        <v>36</v>
      </c>
      <c r="D11" s="0" t="s">
        <v>43</v>
      </c>
      <c r="F11" s="1" t="s">
        <v>35</v>
      </c>
      <c r="I11" s="2" t="s">
        <v>20</v>
      </c>
      <c r="J11" s="2" t="s">
        <v>21</v>
      </c>
      <c r="M11" s="3" t="str">
        <f aca="false">IF(A11-A10&lt;&gt;1,A11-A10,"")</f>
        <v/>
      </c>
      <c r="N11" s="3" t="n">
        <f aca="false">COUNTA(H11:L11)</f>
        <v>2</v>
      </c>
      <c r="O11" s="3" t="n">
        <v>978</v>
      </c>
      <c r="P11" s="3" t="str">
        <f aca="false">UPPER(_xlfn.CONCAT(LEFT(D11,3),O11,LEFT(C11,3)))</f>
        <v>DUD978RIC</v>
      </c>
      <c r="Q11" s="4" t="str">
        <f aca="false">IF(H11&lt;&gt;"", _xlfn.CONCAT("Motion ",IF($N11&gt;1,"5",""),$O11), "")</f>
        <v/>
      </c>
      <c r="R11" s="4" t="str">
        <f aca="false">IF(I11&lt;&gt;"", _xlfn.CONCAT("Motion ",IF($N11&gt;1,"4",""),$O11), "")</f>
        <v>Motion 4978</v>
      </c>
      <c r="S11" s="4" t="str">
        <f aca="false">IF(J11&lt;&gt;"", _xlfn.CONCAT("Motion ",$O11), "")</f>
        <v>Motion 978</v>
      </c>
      <c r="T11" s="4" t="str">
        <f aca="false">IF(K11&lt;&gt;"", _xlfn.CONCAT("Motion ",IF($N11&gt;1,"2",""),$O11), "")</f>
        <v/>
      </c>
      <c r="U11" s="4" t="str">
        <f aca="false">IF(L11&lt;&gt;"", _xlfn.CONCAT("Motion ",IF($N11&gt;1,"1",""),$O11), "")</f>
        <v/>
      </c>
    </row>
    <row r="12" customFormat="false" ht="15" hidden="false" customHeight="false" outlineLevel="0" collapsed="false">
      <c r="A12" s="0" t="n">
        <v>23</v>
      </c>
      <c r="B12" s="0" t="s">
        <v>16</v>
      </c>
      <c r="C12" s="0" t="s">
        <v>44</v>
      </c>
      <c r="D12" s="0" t="s">
        <v>45</v>
      </c>
      <c r="F12" s="1" t="s">
        <v>19</v>
      </c>
      <c r="J12" s="2" t="s">
        <v>21</v>
      </c>
      <c r="M12" s="3" t="str">
        <f aca="false">IF(A12-A11&lt;&gt;1,A12-A11,"")</f>
        <v/>
      </c>
      <c r="N12" s="3" t="n">
        <f aca="false">COUNTA(H12:L12)</f>
        <v>1</v>
      </c>
      <c r="O12" s="3" t="n">
        <v>1045</v>
      </c>
      <c r="P12" s="3" t="str">
        <f aca="false">UPPER(_xlfn.CONCAT(LEFT(D12,3),O12,LEFT(C12,3)))</f>
        <v>MEY1045BEN</v>
      </c>
      <c r="Q12" s="4" t="str">
        <f aca="false">IF(H12&lt;&gt;"", _xlfn.CONCAT("Motion ",IF($N12&gt;1,"5",""),$O12), "")</f>
        <v/>
      </c>
      <c r="R12" s="4" t="str">
        <f aca="false">IF(I12&lt;&gt;"", _xlfn.CONCAT("Motion ",IF($N12&gt;1,"4",""),$O12), "")</f>
        <v/>
      </c>
      <c r="S12" s="4" t="str">
        <f aca="false">IF(J12&lt;&gt;"", _xlfn.CONCAT("Motion ",$O12), "")</f>
        <v>Motion 1045</v>
      </c>
      <c r="T12" s="4" t="str">
        <f aca="false">IF(K12&lt;&gt;"", _xlfn.CONCAT("Motion ",IF($N12&gt;1,"2",""),$O12), "")</f>
        <v/>
      </c>
      <c r="U12" s="4" t="str">
        <f aca="false">IF(L12&lt;&gt;"", _xlfn.CONCAT("Motion ",IF($N12&gt;1,"1",""),$O12), "")</f>
        <v/>
      </c>
    </row>
    <row r="13" customFormat="false" ht="15" hidden="false" customHeight="false" outlineLevel="0" collapsed="false">
      <c r="A13" s="0" t="n">
        <v>24</v>
      </c>
      <c r="B13" s="0" t="s">
        <v>16</v>
      </c>
      <c r="C13" s="0" t="s">
        <v>46</v>
      </c>
      <c r="D13" s="0" t="s">
        <v>47</v>
      </c>
      <c r="F13" s="1" t="s">
        <v>19</v>
      </c>
      <c r="H13" s="2" t="s">
        <v>40</v>
      </c>
      <c r="M13" s="3" t="str">
        <f aca="false">IF(A13-A12&lt;&gt;1,A13-A12,"")</f>
        <v/>
      </c>
      <c r="N13" s="3" t="n">
        <f aca="false">COUNTA(H13:L13)</f>
        <v>1</v>
      </c>
      <c r="O13" s="3" t="n">
        <v>642</v>
      </c>
      <c r="P13" s="3" t="str">
        <f aca="false">UPPER(_xlfn.CONCAT(LEFT(D13,3),O13,LEFT(C13,3)))</f>
        <v>MIL642JEZ</v>
      </c>
      <c r="Q13" s="4" t="str">
        <f aca="false">IF(H13&lt;&gt;"", _xlfn.CONCAT("Motion ",IF($N13&gt;1,"5",""),$O13), "")</f>
        <v>Motion 642</v>
      </c>
      <c r="R13" s="4" t="str">
        <f aca="false">IF(I13&lt;&gt;"", _xlfn.CONCAT("Motion ",IF($N13&gt;1,"4",""),$O13), "")</f>
        <v/>
      </c>
      <c r="S13" s="4" t="str">
        <f aca="false">IF(J13&lt;&gt;"", _xlfn.CONCAT("Motion ",$O13), "")</f>
        <v/>
      </c>
      <c r="T13" s="4" t="str">
        <f aca="false">IF(K13&lt;&gt;"", _xlfn.CONCAT("Motion ",IF($N13&gt;1,"2",""),$O13), "")</f>
        <v/>
      </c>
      <c r="U13" s="4" t="str">
        <f aca="false">IF(L13&lt;&gt;"", _xlfn.CONCAT("Motion ",IF($N13&gt;1,"1",""),$O13), "")</f>
        <v/>
      </c>
    </row>
    <row r="14" customFormat="false" ht="15" hidden="false" customHeight="false" outlineLevel="0" collapsed="false">
      <c r="A14" s="0" t="n">
        <v>25</v>
      </c>
      <c r="B14" s="0" t="s">
        <v>16</v>
      </c>
      <c r="C14" s="0" t="s">
        <v>48</v>
      </c>
      <c r="D14" s="0" t="s">
        <v>49</v>
      </c>
      <c r="F14" s="1" t="s">
        <v>19</v>
      </c>
      <c r="J14" s="2" t="s">
        <v>21</v>
      </c>
      <c r="M14" s="3" t="str">
        <f aca="false">IF(A14-A13&lt;&gt;1,A14-A13,"")</f>
        <v/>
      </c>
      <c r="N14" s="3" t="n">
        <f aca="false">COUNTA(H14:L14)</f>
        <v>1</v>
      </c>
      <c r="O14" s="3" t="n">
        <v>813</v>
      </c>
      <c r="P14" s="3" t="str">
        <f aca="false">UPPER(_xlfn.CONCAT(LEFT(D14,3),O14,LEFT(C14,3)))</f>
        <v>REE813MAR</v>
      </c>
      <c r="Q14" s="4" t="str">
        <f aca="false">IF(H14&lt;&gt;"", _xlfn.CONCAT("Motion ",IF($N14&gt;1,"5",""),$O14), "")</f>
        <v/>
      </c>
      <c r="R14" s="4" t="str">
        <f aca="false">IF(I14&lt;&gt;"", _xlfn.CONCAT("Motion ",IF($N14&gt;1,"4",""),$O14), "")</f>
        <v/>
      </c>
      <c r="S14" s="4" t="str">
        <f aca="false">IF(J14&lt;&gt;"", _xlfn.CONCAT("Motion ",$O14), "")</f>
        <v>Motion 813</v>
      </c>
      <c r="T14" s="4" t="str">
        <f aca="false">IF(K14&lt;&gt;"", _xlfn.CONCAT("Motion ",IF($N14&gt;1,"2",""),$O14), "")</f>
        <v/>
      </c>
      <c r="U14" s="4" t="str">
        <f aca="false">IF(L14&lt;&gt;"", _xlfn.CONCAT("Motion ",IF($N14&gt;1,"1",""),$O14), "")</f>
        <v/>
      </c>
    </row>
    <row r="15" customFormat="false" ht="15" hidden="false" customHeight="false" outlineLevel="0" collapsed="false">
      <c r="A15" s="0" t="n">
        <v>26</v>
      </c>
      <c r="B15" s="0" t="s">
        <v>16</v>
      </c>
      <c r="C15" s="0" t="s">
        <v>50</v>
      </c>
      <c r="D15" s="0" t="s">
        <v>51</v>
      </c>
      <c r="F15" s="1" t="s">
        <v>19</v>
      </c>
      <c r="I15" s="2" t="s">
        <v>20</v>
      </c>
      <c r="J15" s="2" t="s">
        <v>21</v>
      </c>
      <c r="M15" s="3" t="str">
        <f aca="false">IF(A15-A14&lt;&gt;1,A15-A14,"")</f>
        <v/>
      </c>
      <c r="N15" s="3" t="n">
        <f aca="false">COUNTA(H15:L15)</f>
        <v>2</v>
      </c>
      <c r="O15" s="3" t="n">
        <v>805</v>
      </c>
      <c r="P15" s="3" t="str">
        <f aca="false">UPPER(_xlfn.CONCAT(LEFT(D15,3),O15,LEFT(C15,3)))</f>
        <v>LON805ROB</v>
      </c>
      <c r="Q15" s="4" t="str">
        <f aca="false">IF(H15&lt;&gt;"", _xlfn.CONCAT("Motion ",IF($N15&gt;1,"5",""),$O15), "")</f>
        <v/>
      </c>
      <c r="R15" s="4" t="str">
        <f aca="false">IF(I15&lt;&gt;"", _xlfn.CONCAT("Motion ",IF($N15&gt;1,"4",""),$O15), "")</f>
        <v>Motion 4805</v>
      </c>
      <c r="S15" s="4" t="str">
        <f aca="false">IF(J15&lt;&gt;"", _xlfn.CONCAT("Motion ",$O15), "")</f>
        <v>Motion 805</v>
      </c>
      <c r="T15" s="4" t="str">
        <f aca="false">IF(K15&lt;&gt;"", _xlfn.CONCAT("Motion ",IF($N15&gt;1,"2",""),$O15), "")</f>
        <v/>
      </c>
      <c r="U15" s="4" t="str">
        <f aca="false">IF(L15&lt;&gt;"", _xlfn.CONCAT("Motion ",IF($N15&gt;1,"1",""),$O15), "")</f>
        <v/>
      </c>
    </row>
    <row r="16" customFormat="false" ht="15" hidden="false" customHeight="false" outlineLevel="0" collapsed="false">
      <c r="A16" s="0" t="n">
        <v>27</v>
      </c>
      <c r="B16" s="0" t="s">
        <v>52</v>
      </c>
      <c r="C16" s="0" t="s">
        <v>53</v>
      </c>
      <c r="D16" s="0" t="s">
        <v>54</v>
      </c>
      <c r="F16" s="1" t="s">
        <v>19</v>
      </c>
      <c r="H16" s="2" t="s">
        <v>40</v>
      </c>
      <c r="M16" s="3" t="str">
        <f aca="false">IF(A16-A15&lt;&gt;1,A16-A15,"")</f>
        <v/>
      </c>
      <c r="N16" s="3" t="n">
        <f aca="false">COUNTA(H16:L16)</f>
        <v>1</v>
      </c>
      <c r="O16" s="3" t="n">
        <v>632</v>
      </c>
      <c r="P16" s="3" t="str">
        <f aca="false">UPPER(_xlfn.CONCAT(LEFT(D16,3),O16,LEFT(C16,3)))</f>
        <v>ROG632KAT</v>
      </c>
      <c r="Q16" s="4" t="str">
        <f aca="false">IF(H16&lt;&gt;"", _xlfn.CONCAT("Motion ",IF($N16&gt;1,"5",""),$O16), "")</f>
        <v>Motion 632</v>
      </c>
      <c r="R16" s="4" t="str">
        <f aca="false">IF(I16&lt;&gt;"", _xlfn.CONCAT("Motion ",IF($N16&gt;1,"4",""),$O16), "")</f>
        <v/>
      </c>
      <c r="S16" s="4" t="str">
        <f aca="false">IF(J16&lt;&gt;"", _xlfn.CONCAT("Motion ",$O16), "")</f>
        <v/>
      </c>
      <c r="T16" s="4" t="str">
        <f aca="false">IF(K16&lt;&gt;"", _xlfn.CONCAT("Motion ",IF($N16&gt;1,"2",""),$O16), "")</f>
        <v/>
      </c>
      <c r="U16" s="4" t="str">
        <f aca="false">IF(L16&lt;&gt;"", _xlfn.CONCAT("Motion ",IF($N16&gt;1,"1",""),$O16), "")</f>
        <v/>
      </c>
    </row>
    <row r="17" customFormat="false" ht="15" hidden="false" customHeight="false" outlineLevel="0" collapsed="false">
      <c r="A17" s="0" t="n">
        <v>28</v>
      </c>
      <c r="B17" s="0" t="s">
        <v>16</v>
      </c>
      <c r="C17" s="0" t="s">
        <v>55</v>
      </c>
      <c r="D17" s="0" t="s">
        <v>56</v>
      </c>
      <c r="F17" s="1" t="s">
        <v>35</v>
      </c>
      <c r="J17" s="2" t="s">
        <v>21</v>
      </c>
      <c r="M17" s="3" t="str">
        <f aca="false">IF(A17-A16&lt;&gt;1,A17-A16,"")</f>
        <v/>
      </c>
      <c r="N17" s="3" t="n">
        <f aca="false">COUNTA(H17:L17)</f>
        <v>1</v>
      </c>
      <c r="O17" s="3" t="n">
        <v>855</v>
      </c>
      <c r="P17" s="3" t="str">
        <f aca="false">UPPER(_xlfn.CONCAT(LEFT(D17,3),O17,LEFT(C17,3)))</f>
        <v>SMI855BAR</v>
      </c>
      <c r="Q17" s="4" t="str">
        <f aca="false">IF(H17&lt;&gt;"", _xlfn.CONCAT("Motion ",IF($N17&gt;1,"5",""),$O17), "")</f>
        <v/>
      </c>
      <c r="R17" s="4" t="str">
        <f aca="false">IF(I17&lt;&gt;"", _xlfn.CONCAT("Motion ",IF($N17&gt;1,"4",""),$O17), "")</f>
        <v/>
      </c>
      <c r="S17" s="4" t="str">
        <f aca="false">IF(J17&lt;&gt;"", _xlfn.CONCAT("Motion ",$O17), "")</f>
        <v>Motion 855</v>
      </c>
      <c r="T17" s="4" t="str">
        <f aca="false">IF(K17&lt;&gt;"", _xlfn.CONCAT("Motion ",IF($N17&gt;1,"2",""),$O17), "")</f>
        <v/>
      </c>
      <c r="U17" s="4" t="str">
        <f aca="false">IF(L17&lt;&gt;"", _xlfn.CONCAT("Motion ",IF($N17&gt;1,"1",""),$O17), "")</f>
        <v/>
      </c>
    </row>
    <row r="18" customFormat="false" ht="15" hidden="false" customHeight="false" outlineLevel="0" collapsed="false">
      <c r="A18" s="0" t="n">
        <v>29</v>
      </c>
      <c r="B18" s="0" t="s">
        <v>16</v>
      </c>
      <c r="C18" s="0" t="s">
        <v>36</v>
      </c>
      <c r="D18" s="0" t="s">
        <v>57</v>
      </c>
      <c r="F18" s="1" t="s">
        <v>19</v>
      </c>
      <c r="J18" s="2" t="s">
        <v>21</v>
      </c>
      <c r="M18" s="3" t="str">
        <f aca="false">IF(A18-A17&lt;&gt;1,A18-A17,"")</f>
        <v/>
      </c>
      <c r="N18" s="3" t="n">
        <f aca="false">COUNTA(H18:L18)</f>
        <v>1</v>
      </c>
      <c r="O18" s="3" t="n">
        <v>824</v>
      </c>
      <c r="P18" s="3" t="str">
        <f aca="false">UPPER(_xlfn.CONCAT(LEFT(D18,3),O18,LEFT(C18,3)))</f>
        <v>CRO824RIC</v>
      </c>
      <c r="Q18" s="4" t="str">
        <f aca="false">IF(H18&lt;&gt;"", _xlfn.CONCAT("Motion ",IF($N18&gt;1,"5",""),$O18), "")</f>
        <v/>
      </c>
      <c r="R18" s="4" t="str">
        <f aca="false">IF(I18&lt;&gt;"", _xlfn.CONCAT("Motion ",IF($N18&gt;1,"4",""),$O18), "")</f>
        <v/>
      </c>
      <c r="S18" s="4" t="str">
        <f aca="false">IF(J18&lt;&gt;"", _xlfn.CONCAT("Motion ",$O18), "")</f>
        <v>Motion 824</v>
      </c>
      <c r="T18" s="4" t="str">
        <f aca="false">IF(K18&lt;&gt;"", _xlfn.CONCAT("Motion ",IF($N18&gt;1,"2",""),$O18), "")</f>
        <v/>
      </c>
      <c r="U18" s="4" t="str">
        <f aca="false">IF(L18&lt;&gt;"", _xlfn.CONCAT("Motion ",IF($N18&gt;1,"1",""),$O18), "")</f>
        <v/>
      </c>
    </row>
    <row r="19" customFormat="false" ht="15" hidden="false" customHeight="false" outlineLevel="0" collapsed="false">
      <c r="A19" s="0" t="n">
        <v>30</v>
      </c>
      <c r="B19" s="0" t="s">
        <v>16</v>
      </c>
      <c r="C19" s="0" t="s">
        <v>58</v>
      </c>
      <c r="D19" s="0" t="s">
        <v>57</v>
      </c>
      <c r="F19" s="1" t="s">
        <v>35</v>
      </c>
      <c r="I19" s="2" t="s">
        <v>20</v>
      </c>
      <c r="J19" s="2" t="s">
        <v>21</v>
      </c>
      <c r="M19" s="3" t="str">
        <f aca="false">IF(A19-A18&lt;&gt;1,A19-A18,"")</f>
        <v/>
      </c>
      <c r="N19" s="3" t="n">
        <f aca="false">COUNTA(H19:L19)</f>
        <v>2</v>
      </c>
      <c r="O19" s="3" t="n">
        <v>952</v>
      </c>
      <c r="P19" s="3" t="str">
        <f aca="false">UPPER(_xlfn.CONCAT(LEFT(D19,3),O19,LEFT(C19,3)))</f>
        <v>CRO952PET</v>
      </c>
      <c r="Q19" s="4" t="str">
        <f aca="false">IF(H19&lt;&gt;"", _xlfn.CONCAT("Motion ",IF($N19&gt;1,"5",""),$O19), "")</f>
        <v/>
      </c>
      <c r="R19" s="4" t="str">
        <f aca="false">IF(I19&lt;&gt;"", _xlfn.CONCAT("Motion ",IF($N19&gt;1,"4",""),$O19), "")</f>
        <v>Motion 4952</v>
      </c>
      <c r="S19" s="4" t="str">
        <f aca="false">IF(J19&lt;&gt;"", _xlfn.CONCAT("Motion ",$O19), "")</f>
        <v>Motion 952</v>
      </c>
      <c r="T19" s="4" t="str">
        <f aca="false">IF(K19&lt;&gt;"", _xlfn.CONCAT("Motion ",IF($N19&gt;1,"2",""),$O19), "")</f>
        <v/>
      </c>
      <c r="U19" s="4" t="str">
        <f aca="false">IF(L19&lt;&gt;"", _xlfn.CONCAT("Motion ",IF($N19&gt;1,"1",""),$O19), "")</f>
        <v/>
      </c>
    </row>
    <row r="20" customFormat="false" ht="15" hidden="false" customHeight="false" outlineLevel="0" collapsed="false">
      <c r="A20" s="0" t="n">
        <v>31</v>
      </c>
      <c r="B20" s="0" t="s">
        <v>16</v>
      </c>
      <c r="C20" s="0" t="s">
        <v>22</v>
      </c>
      <c r="D20" s="0" t="s">
        <v>59</v>
      </c>
      <c r="F20" s="1" t="s">
        <v>19</v>
      </c>
      <c r="J20" s="2" t="s">
        <v>21</v>
      </c>
      <c r="M20" s="3" t="str">
        <f aca="false">IF(A20-A19&lt;&gt;1,A20-A19,"")</f>
        <v/>
      </c>
      <c r="N20" s="3" t="n">
        <f aca="false">COUNTA(H20:L20)</f>
        <v>1</v>
      </c>
      <c r="O20" s="3" t="n">
        <v>849</v>
      </c>
      <c r="P20" s="3" t="str">
        <f aca="false">UPPER(_xlfn.CONCAT(LEFT(D20,3),O20,LEFT(C20,3)))</f>
        <v>BAR849SIM</v>
      </c>
      <c r="Q20" s="4" t="str">
        <f aca="false">IF(H20&lt;&gt;"", _xlfn.CONCAT("Motion ",IF($N20&gt;1,"5",""),$O20), "")</f>
        <v/>
      </c>
      <c r="R20" s="4" t="str">
        <f aca="false">IF(I20&lt;&gt;"", _xlfn.CONCAT("Motion ",IF($N20&gt;1,"4",""),$O20), "")</f>
        <v/>
      </c>
      <c r="S20" s="4" t="str">
        <f aca="false">IF(J20&lt;&gt;"", _xlfn.CONCAT("Motion ",$O20), "")</f>
        <v>Motion 849</v>
      </c>
      <c r="T20" s="4" t="str">
        <f aca="false">IF(K20&lt;&gt;"", _xlfn.CONCAT("Motion ",IF($N20&gt;1,"2",""),$O20), "")</f>
        <v/>
      </c>
      <c r="U20" s="4" t="str">
        <f aca="false">IF(L20&lt;&gt;"", _xlfn.CONCAT("Motion ",IF($N20&gt;1,"1",""),$O20), "")</f>
        <v/>
      </c>
    </row>
    <row r="21" customFormat="false" ht="15" hidden="false" customHeight="false" outlineLevel="0" collapsed="false">
      <c r="A21" s="0" t="n">
        <v>32</v>
      </c>
      <c r="B21" s="0" t="s">
        <v>16</v>
      </c>
      <c r="C21" s="0" t="s">
        <v>60</v>
      </c>
      <c r="D21" s="0" t="s">
        <v>61</v>
      </c>
      <c r="F21" s="1" t="s">
        <v>35</v>
      </c>
      <c r="J21" s="2" t="s">
        <v>21</v>
      </c>
      <c r="M21" s="3" t="str">
        <f aca="false">IF(A21-A20&lt;&gt;1,A21-A20,"")</f>
        <v/>
      </c>
      <c r="N21" s="3" t="n">
        <f aca="false">COUNTA(H21:L21)</f>
        <v>1</v>
      </c>
      <c r="O21" s="3" t="n">
        <v>806</v>
      </c>
      <c r="P21" s="3" t="str">
        <f aca="false">UPPER(_xlfn.CONCAT(LEFT(D21,3),O21,LEFT(C21,3)))</f>
        <v>MAY806SCO</v>
      </c>
      <c r="Q21" s="4" t="str">
        <f aca="false">IF(H21&lt;&gt;"", _xlfn.CONCAT("Motion ",IF($N21&gt;1,"5",""),$O21), "")</f>
        <v/>
      </c>
      <c r="R21" s="4" t="str">
        <f aca="false">IF(I21&lt;&gt;"", _xlfn.CONCAT("Motion ",IF($N21&gt;1,"4",""),$O21), "")</f>
        <v/>
      </c>
      <c r="S21" s="4" t="str">
        <f aca="false">IF(J21&lt;&gt;"", _xlfn.CONCAT("Motion ",$O21), "")</f>
        <v>Motion 806</v>
      </c>
      <c r="T21" s="4" t="str">
        <f aca="false">IF(K21&lt;&gt;"", _xlfn.CONCAT("Motion ",IF($N21&gt;1,"2",""),$O21), "")</f>
        <v/>
      </c>
      <c r="U21" s="4" t="str">
        <f aca="false">IF(L21&lt;&gt;"", _xlfn.CONCAT("Motion ",IF($N21&gt;1,"1",""),$O21), "")</f>
        <v/>
      </c>
    </row>
    <row r="22" customFormat="false" ht="15" hidden="false" customHeight="false" outlineLevel="0" collapsed="false">
      <c r="A22" s="0" t="n">
        <v>33</v>
      </c>
      <c r="B22" s="0" t="s">
        <v>16</v>
      </c>
      <c r="C22" s="0" t="s">
        <v>62</v>
      </c>
      <c r="D22" s="0" t="s">
        <v>63</v>
      </c>
      <c r="F22" s="1" t="s">
        <v>35</v>
      </c>
      <c r="I22" s="2" t="s">
        <v>20</v>
      </c>
      <c r="J22" s="2" t="s">
        <v>21</v>
      </c>
      <c r="M22" s="3" t="str">
        <f aca="false">IF(A22-A21&lt;&gt;1,A22-A21,"")</f>
        <v/>
      </c>
      <c r="N22" s="3" t="n">
        <f aca="false">COUNTA(H22:L22)</f>
        <v>2</v>
      </c>
      <c r="O22" s="3" t="n">
        <v>807</v>
      </c>
      <c r="P22" s="3" t="str">
        <f aca="false">UPPER(_xlfn.CONCAT(LEFT(D22,3),O22,LEFT(C22,3)))</f>
        <v>ILI807NIK</v>
      </c>
      <c r="Q22" s="4" t="str">
        <f aca="false">IF(H22&lt;&gt;"", _xlfn.CONCAT("Motion ",IF($N22&gt;1,"5",""),$O22), "")</f>
        <v/>
      </c>
      <c r="R22" s="4" t="str">
        <f aca="false">IF(I22&lt;&gt;"", _xlfn.CONCAT("Motion ",IF($N22&gt;1,"4",""),$O22), "")</f>
        <v>Motion 4807</v>
      </c>
      <c r="S22" s="4" t="str">
        <f aca="false">IF(J22&lt;&gt;"", _xlfn.CONCAT("Motion ",$O22), "")</f>
        <v>Motion 807</v>
      </c>
      <c r="T22" s="4" t="str">
        <f aca="false">IF(K22&lt;&gt;"", _xlfn.CONCAT("Motion ",IF($N22&gt;1,"2",""),$O22), "")</f>
        <v/>
      </c>
      <c r="U22" s="4" t="str">
        <f aca="false">IF(L22&lt;&gt;"", _xlfn.CONCAT("Motion ",IF($N22&gt;1,"1",""),$O22), "")</f>
        <v/>
      </c>
    </row>
    <row r="23" customFormat="false" ht="15" hidden="false" customHeight="false" outlineLevel="0" collapsed="false">
      <c r="A23" s="0" t="n">
        <v>34</v>
      </c>
      <c r="B23" s="0" t="s">
        <v>16</v>
      </c>
      <c r="C23" s="0" t="s">
        <v>48</v>
      </c>
      <c r="D23" s="0" t="s">
        <v>64</v>
      </c>
      <c r="F23" s="1" t="s">
        <v>19</v>
      </c>
      <c r="I23" s="2" t="s">
        <v>20</v>
      </c>
      <c r="J23" s="2" t="s">
        <v>21</v>
      </c>
      <c r="M23" s="3" t="str">
        <f aca="false">IF(A23-A22&lt;&gt;1,A23-A22,"")</f>
        <v/>
      </c>
      <c r="N23" s="3" t="n">
        <f aca="false">COUNTA(H23:L23)</f>
        <v>2</v>
      </c>
      <c r="O23" s="3" t="n">
        <v>801</v>
      </c>
      <c r="P23" s="3" t="str">
        <f aca="false">UPPER(_xlfn.CONCAT(LEFT(D23,3),O23,LEFT(C23,3)))</f>
        <v>ING801MAR</v>
      </c>
      <c r="Q23" s="4" t="str">
        <f aca="false">IF(H23&lt;&gt;"", _xlfn.CONCAT("Motion ",IF($N23&gt;1,"5",""),$O23), "")</f>
        <v/>
      </c>
      <c r="R23" s="4" t="str">
        <f aca="false">IF(I23&lt;&gt;"", _xlfn.CONCAT("Motion ",IF($N23&gt;1,"4",""),$O23), "")</f>
        <v>Motion 4801</v>
      </c>
      <c r="S23" s="4" t="str">
        <f aca="false">IF(J23&lt;&gt;"", _xlfn.CONCAT("Motion ",$O23), "")</f>
        <v>Motion 801</v>
      </c>
      <c r="T23" s="4" t="str">
        <f aca="false">IF(K23&lt;&gt;"", _xlfn.CONCAT("Motion ",IF($N23&gt;1,"2",""),$O23), "")</f>
        <v/>
      </c>
      <c r="U23" s="4" t="str">
        <f aca="false">IF(L23&lt;&gt;"", _xlfn.CONCAT("Motion ",IF($N23&gt;1,"1",""),$O23), "")</f>
        <v/>
      </c>
    </row>
    <row r="24" customFormat="false" ht="15" hidden="false" customHeight="false" outlineLevel="0" collapsed="false">
      <c r="A24" s="0" t="n">
        <v>35</v>
      </c>
      <c r="B24" s="0" t="s">
        <v>16</v>
      </c>
      <c r="C24" s="0" t="s">
        <v>65</v>
      </c>
      <c r="D24" s="0" t="s">
        <v>64</v>
      </c>
      <c r="F24" s="1" t="s">
        <v>19</v>
      </c>
      <c r="J24" s="2" t="s">
        <v>21</v>
      </c>
      <c r="M24" s="3" t="str">
        <f aca="false">IF(A24-A23&lt;&gt;1,A24-A23,"")</f>
        <v/>
      </c>
      <c r="N24" s="3" t="n">
        <f aca="false">COUNTA(H24:L24)</f>
        <v>1</v>
      </c>
      <c r="O24" s="3" t="n">
        <v>1043</v>
      </c>
      <c r="P24" s="3" t="str">
        <f aca="false">UPPER(_xlfn.CONCAT(LEFT(D24,3),O24,LEFT(C24,3)))</f>
        <v>ING1043JON</v>
      </c>
      <c r="Q24" s="4" t="str">
        <f aca="false">IF(H24&lt;&gt;"", _xlfn.CONCAT("Motion ",IF($N24&gt;1,"5",""),$O24), "")</f>
        <v/>
      </c>
      <c r="R24" s="4" t="str">
        <f aca="false">IF(I24&lt;&gt;"", _xlfn.CONCAT("Motion ",IF($N24&gt;1,"4",""),$O24), "")</f>
        <v/>
      </c>
      <c r="S24" s="4" t="str">
        <f aca="false">IF(J24&lt;&gt;"", _xlfn.CONCAT("Motion ",$O24), "")</f>
        <v>Motion 1043</v>
      </c>
      <c r="T24" s="4" t="str">
        <f aca="false">IF(K24&lt;&gt;"", _xlfn.CONCAT("Motion ",IF($N24&gt;1,"2",""),$O24), "")</f>
        <v/>
      </c>
      <c r="U24" s="4" t="str">
        <f aca="false">IF(L24&lt;&gt;"", _xlfn.CONCAT("Motion ",IF($N24&gt;1,"1",""),$O24), "")</f>
        <v/>
      </c>
    </row>
    <row r="25" customFormat="false" ht="15" hidden="false" customHeight="false" outlineLevel="0" collapsed="false">
      <c r="A25" s="0" t="n">
        <v>36</v>
      </c>
      <c r="B25" s="0" t="s">
        <v>16</v>
      </c>
      <c r="C25" s="0" t="s">
        <v>48</v>
      </c>
      <c r="D25" s="0" t="s">
        <v>66</v>
      </c>
      <c r="F25" s="1" t="s">
        <v>19</v>
      </c>
      <c r="I25" s="2" t="s">
        <v>20</v>
      </c>
      <c r="J25" s="2" t="s">
        <v>21</v>
      </c>
      <c r="M25" s="3" t="str">
        <f aca="false">IF(A25-A24&lt;&gt;1,A25-A24,"")</f>
        <v/>
      </c>
      <c r="N25" s="3" t="n">
        <f aca="false">COUNTA(H25:L25)</f>
        <v>2</v>
      </c>
      <c r="O25" s="3" t="n">
        <v>841</v>
      </c>
      <c r="P25" s="3" t="str">
        <f aca="false">UPPER(_xlfn.CONCAT(LEFT(D25,3),O25,LEFT(C25,3)))</f>
        <v>SAL841MAR</v>
      </c>
      <c r="Q25" s="4" t="str">
        <f aca="false">IF(H25&lt;&gt;"", _xlfn.CONCAT("Motion ",IF($N25&gt;1,"5",""),$O25), "")</f>
        <v/>
      </c>
      <c r="R25" s="4" t="str">
        <f aca="false">IF(I25&lt;&gt;"", _xlfn.CONCAT("Motion ",IF($N25&gt;1,"4",""),$O25), "")</f>
        <v>Motion 4841</v>
      </c>
      <c r="S25" s="4" t="str">
        <f aca="false">IF(J25&lt;&gt;"", _xlfn.CONCAT("Motion ",$O25), "")</f>
        <v>Motion 841</v>
      </c>
      <c r="T25" s="4" t="str">
        <f aca="false">IF(K25&lt;&gt;"", _xlfn.CONCAT("Motion ",IF($N25&gt;1,"2",""),$O25), "")</f>
        <v/>
      </c>
      <c r="U25" s="4" t="str">
        <f aca="false">IF(L25&lt;&gt;"", _xlfn.CONCAT("Motion ",IF($N25&gt;1,"1",""),$O25), "")</f>
        <v/>
      </c>
    </row>
    <row r="26" customFormat="false" ht="15" hidden="false" customHeight="false" outlineLevel="0" collapsed="false">
      <c r="A26" s="0" t="n">
        <v>37</v>
      </c>
      <c r="B26" s="0" t="s">
        <v>16</v>
      </c>
      <c r="C26" s="0" t="s">
        <v>67</v>
      </c>
      <c r="D26" s="0" t="s">
        <v>68</v>
      </c>
      <c r="F26" s="1" t="s">
        <v>35</v>
      </c>
      <c r="J26" s="2" t="s">
        <v>21</v>
      </c>
      <c r="M26" s="3" t="str">
        <f aca="false">IF(A26-A25&lt;&gt;1,A26-A25,"")</f>
        <v/>
      </c>
      <c r="N26" s="3" t="n">
        <f aca="false">COUNTA(H26:L26)</f>
        <v>1</v>
      </c>
      <c r="O26" s="3" t="n">
        <v>808</v>
      </c>
      <c r="P26" s="3" t="str">
        <f aca="false">UPPER(_xlfn.CONCAT(LEFT(D26,3),O26,LEFT(C26,3)))</f>
        <v>OWE808AND</v>
      </c>
      <c r="Q26" s="4" t="str">
        <f aca="false">IF(H26&lt;&gt;"", _xlfn.CONCAT("Motion ",IF($N26&gt;1,"5",""),$O26), "")</f>
        <v/>
      </c>
      <c r="R26" s="4" t="str">
        <f aca="false">IF(I26&lt;&gt;"", _xlfn.CONCAT("Motion ",IF($N26&gt;1,"4",""),$O26), "")</f>
        <v/>
      </c>
      <c r="S26" s="4" t="str">
        <f aca="false">IF(J26&lt;&gt;"", _xlfn.CONCAT("Motion ",$O26), "")</f>
        <v>Motion 808</v>
      </c>
      <c r="T26" s="4" t="str">
        <f aca="false">IF(K26&lt;&gt;"", _xlfn.CONCAT("Motion ",IF($N26&gt;1,"2",""),$O26), "")</f>
        <v/>
      </c>
      <c r="U26" s="4" t="str">
        <f aca="false">IF(L26&lt;&gt;"", _xlfn.CONCAT("Motion ",IF($N26&gt;1,"1",""),$O26), "")</f>
        <v/>
      </c>
    </row>
    <row r="27" customFormat="false" ht="15" hidden="false" customHeight="false" outlineLevel="0" collapsed="false">
      <c r="A27" s="0" t="n">
        <v>38</v>
      </c>
      <c r="B27" s="0" t="s">
        <v>16</v>
      </c>
      <c r="C27" s="0" t="s">
        <v>69</v>
      </c>
      <c r="D27" s="0" t="s">
        <v>70</v>
      </c>
      <c r="F27" s="1" t="s">
        <v>19</v>
      </c>
      <c r="J27" s="2" t="s">
        <v>21</v>
      </c>
      <c r="M27" s="3" t="str">
        <f aca="false">IF(A27-A26&lt;&gt;1,A27-A26,"")</f>
        <v/>
      </c>
      <c r="N27" s="3" t="n">
        <f aca="false">COUNTA(H27:L27)</f>
        <v>1</v>
      </c>
      <c r="O27" s="3" t="n">
        <v>804</v>
      </c>
      <c r="P27" s="3" t="str">
        <f aca="false">UPPER(_xlfn.CONCAT(LEFT(D27,3),O27,LEFT(C27,3)))</f>
        <v>LIL804MAT</v>
      </c>
      <c r="Q27" s="4" t="str">
        <f aca="false">IF(H27&lt;&gt;"", _xlfn.CONCAT("Motion ",IF($N27&gt;1,"5",""),$O27), "")</f>
        <v/>
      </c>
      <c r="R27" s="4" t="str">
        <f aca="false">IF(I27&lt;&gt;"", _xlfn.CONCAT("Motion ",IF($N27&gt;1,"4",""),$O27), "")</f>
        <v/>
      </c>
      <c r="S27" s="4" t="str">
        <f aca="false">IF(J27&lt;&gt;"", _xlfn.CONCAT("Motion ",$O27), "")</f>
        <v>Motion 804</v>
      </c>
      <c r="T27" s="4" t="str">
        <f aca="false">IF(K27&lt;&gt;"", _xlfn.CONCAT("Motion ",IF($N27&gt;1,"2",""),$O27), "")</f>
        <v/>
      </c>
      <c r="U27" s="4" t="str">
        <f aca="false">IF(L27&lt;&gt;"", _xlfn.CONCAT("Motion ",IF($N27&gt;1,"1",""),$O27), "")</f>
        <v/>
      </c>
    </row>
    <row r="28" customFormat="false" ht="15" hidden="false" customHeight="false" outlineLevel="0" collapsed="false">
      <c r="A28" s="0" t="n">
        <v>39</v>
      </c>
      <c r="B28" s="0" t="s">
        <v>16</v>
      </c>
      <c r="C28" s="0" t="s">
        <v>71</v>
      </c>
      <c r="D28" s="0" t="s">
        <v>72</v>
      </c>
      <c r="F28" s="1" t="s">
        <v>19</v>
      </c>
      <c r="G28" s="1" t="n">
        <v>707</v>
      </c>
      <c r="H28" s="2" t="s">
        <v>40</v>
      </c>
      <c r="M28" s="3" t="str">
        <f aca="false">IF(A28-A27&lt;&gt;1,A28-A27,"")</f>
        <v/>
      </c>
      <c r="N28" s="3" t="n">
        <f aca="false">COUNTA(H28:L28)</f>
        <v>1</v>
      </c>
      <c r="O28" s="11" t="n">
        <f aca="false">G28</f>
        <v>707</v>
      </c>
      <c r="P28" s="3" t="str">
        <f aca="false">UPPER(_xlfn.CONCAT(LEFT(D28,3),O28,LEFT(C28,3)))</f>
        <v>GOR707DEN</v>
      </c>
      <c r="Q28" s="4" t="str">
        <f aca="false">IF(H28&lt;&gt;"", _xlfn.CONCAT("Motion ",IF($N28&gt;1,"5",""),$O28), "")</f>
        <v>Motion 707</v>
      </c>
      <c r="R28" s="4" t="str">
        <f aca="false">IF(I28&lt;&gt;"", _xlfn.CONCAT("Motion ",IF($N28&gt;1,"4",""),$O28), "")</f>
        <v/>
      </c>
      <c r="S28" s="4" t="str">
        <f aca="false">IF(J28&lt;&gt;"", _xlfn.CONCAT("Motion ",$O28), "")</f>
        <v/>
      </c>
      <c r="T28" s="4" t="str">
        <f aca="false">IF(K28&lt;&gt;"", _xlfn.CONCAT("Motion ",IF($N28&gt;1,"2",""),$O28), "")</f>
        <v/>
      </c>
      <c r="U28" s="4" t="str">
        <f aca="false">IF(L28&lt;&gt;"", _xlfn.CONCAT("Motion ",IF($N28&gt;1,"1",""),$O28), "")</f>
        <v/>
      </c>
    </row>
    <row r="29" customFormat="false" ht="15" hidden="false" customHeight="false" outlineLevel="0" collapsed="false">
      <c r="A29" s="0" t="n">
        <v>40</v>
      </c>
      <c r="B29" s="0" t="s">
        <v>16</v>
      </c>
      <c r="C29" s="0" t="s">
        <v>60</v>
      </c>
      <c r="D29" s="0" t="s">
        <v>73</v>
      </c>
      <c r="F29" s="1" t="s">
        <v>19</v>
      </c>
      <c r="J29" s="2" t="s">
        <v>21</v>
      </c>
      <c r="M29" s="3" t="str">
        <f aca="false">IF(A29-A28&lt;&gt;1,A29-A28,"")</f>
        <v/>
      </c>
      <c r="N29" s="3" t="n">
        <f aca="false">COUNTA(H29:L29)</f>
        <v>1</v>
      </c>
      <c r="O29" s="3" t="n">
        <v>852</v>
      </c>
      <c r="P29" s="3" t="str">
        <f aca="false">UPPER(_xlfn.CONCAT(LEFT(D29,3),O29,LEFT(C29,3)))</f>
        <v>HAR852SCO</v>
      </c>
      <c r="Q29" s="4" t="str">
        <f aca="false">IF(H29&lt;&gt;"", _xlfn.CONCAT("Motion ",IF($N29&gt;1,"5",""),$O29), "")</f>
        <v/>
      </c>
      <c r="R29" s="4" t="str">
        <f aca="false">IF(I29&lt;&gt;"", _xlfn.CONCAT("Motion ",IF($N29&gt;1,"4",""),$O29), "")</f>
        <v/>
      </c>
      <c r="S29" s="4" t="str">
        <f aca="false">IF(J29&lt;&gt;"", _xlfn.CONCAT("Motion ",$O29), "")</f>
        <v>Motion 852</v>
      </c>
      <c r="T29" s="4" t="str">
        <f aca="false">IF(K29&lt;&gt;"", _xlfn.CONCAT("Motion ",IF($N29&gt;1,"2",""),$O29), "")</f>
        <v/>
      </c>
      <c r="U29" s="4" t="str">
        <f aca="false">IF(L29&lt;&gt;"", _xlfn.CONCAT("Motion ",IF($N29&gt;1,"1",""),$O29), "")</f>
        <v/>
      </c>
    </row>
    <row r="30" customFormat="false" ht="15" hidden="false" customHeight="false" outlineLevel="0" collapsed="false">
      <c r="A30" s="0" t="n">
        <v>41</v>
      </c>
      <c r="B30" s="0" t="s">
        <v>52</v>
      </c>
      <c r="C30" s="0" t="s">
        <v>74</v>
      </c>
      <c r="D30" s="0" t="s">
        <v>73</v>
      </c>
      <c r="F30" s="1" t="s">
        <v>19</v>
      </c>
      <c r="J30" s="2" t="s">
        <v>21</v>
      </c>
      <c r="M30" s="3" t="str">
        <f aca="false">IF(A30-A29&lt;&gt;1,A30-A29,"")</f>
        <v/>
      </c>
      <c r="N30" s="3" t="n">
        <f aca="false">COUNTA(H30:L30)</f>
        <v>1</v>
      </c>
      <c r="O30" s="3" t="n">
        <v>861</v>
      </c>
      <c r="P30" s="3" t="str">
        <f aca="false">UPPER(_xlfn.CONCAT(LEFT(D30,3),O30,LEFT(C30,3)))</f>
        <v>HAR861SIA</v>
      </c>
      <c r="Q30" s="4" t="str">
        <f aca="false">IF(H30&lt;&gt;"", _xlfn.CONCAT("Motion ",IF($N30&gt;1,"5",""),$O30), "")</f>
        <v/>
      </c>
      <c r="R30" s="4" t="str">
        <f aca="false">IF(I30&lt;&gt;"", _xlfn.CONCAT("Motion ",IF($N30&gt;1,"4",""),$O30), "")</f>
        <v/>
      </c>
      <c r="S30" s="4" t="str">
        <f aca="false">IF(J30&lt;&gt;"", _xlfn.CONCAT("Motion ",$O30), "")</f>
        <v>Motion 861</v>
      </c>
      <c r="T30" s="4" t="str">
        <f aca="false">IF(K30&lt;&gt;"", _xlfn.CONCAT("Motion ",IF($N30&gt;1,"2",""),$O30), "")</f>
        <v/>
      </c>
      <c r="U30" s="4" t="str">
        <f aca="false">IF(L30&lt;&gt;"", _xlfn.CONCAT("Motion ",IF($N30&gt;1,"1",""),$O30), "")</f>
        <v/>
      </c>
    </row>
    <row r="31" customFormat="false" ht="15" hidden="false" customHeight="false" outlineLevel="0" collapsed="false">
      <c r="A31" s="0" t="n">
        <v>42</v>
      </c>
      <c r="B31" s="0" t="s">
        <v>16</v>
      </c>
      <c r="C31" s="0" t="s">
        <v>75</v>
      </c>
      <c r="D31" s="0" t="s">
        <v>45</v>
      </c>
      <c r="F31" s="1" t="s">
        <v>19</v>
      </c>
      <c r="J31" s="2" t="s">
        <v>21</v>
      </c>
      <c r="M31" s="3" t="str">
        <f aca="false">IF(A31-A30&lt;&gt;1,A31-A30,"")</f>
        <v/>
      </c>
      <c r="N31" s="3" t="n">
        <f aca="false">COUNTA(H31:L31)</f>
        <v>1</v>
      </c>
      <c r="O31" s="3" t="n">
        <v>1039</v>
      </c>
      <c r="P31" s="3" t="str">
        <f aca="false">UPPER(_xlfn.CONCAT(LEFT(D31,3),O31,LEFT(C31,3)))</f>
        <v>MEY1039NEI</v>
      </c>
      <c r="Q31" s="4" t="str">
        <f aca="false">IF(H31&lt;&gt;"", _xlfn.CONCAT("Motion ",IF($N31&gt;1,"5",""),$O31), "")</f>
        <v/>
      </c>
      <c r="R31" s="4" t="str">
        <f aca="false">IF(I31&lt;&gt;"", _xlfn.CONCAT("Motion ",IF($N31&gt;1,"4",""),$O31), "")</f>
        <v/>
      </c>
      <c r="S31" s="4" t="str">
        <f aca="false">IF(J31&lt;&gt;"", _xlfn.CONCAT("Motion ",$O31), "")</f>
        <v>Motion 1039</v>
      </c>
      <c r="T31" s="4" t="str">
        <f aca="false">IF(K31&lt;&gt;"", _xlfn.CONCAT("Motion ",IF($N31&gt;1,"2",""),$O31), "")</f>
        <v/>
      </c>
      <c r="U31" s="4" t="str">
        <f aca="false">IF(L31&lt;&gt;"", _xlfn.CONCAT("Motion ",IF($N31&gt;1,"1",""),$O31), "")</f>
        <v/>
      </c>
    </row>
    <row r="32" customFormat="false" ht="15" hidden="false" customHeight="false" outlineLevel="0" collapsed="false">
      <c r="A32" s="0" t="n">
        <v>43</v>
      </c>
      <c r="B32" s="0" t="s">
        <v>16</v>
      </c>
      <c r="C32" s="0" t="s">
        <v>76</v>
      </c>
      <c r="D32" s="0" t="s">
        <v>77</v>
      </c>
      <c r="F32" s="1" t="s">
        <v>35</v>
      </c>
      <c r="J32" s="2" t="s">
        <v>21</v>
      </c>
      <c r="M32" s="3" t="str">
        <f aca="false">IF(A32-A31&lt;&gt;1,A32-A31,"")</f>
        <v/>
      </c>
      <c r="N32" s="3" t="n">
        <f aca="false">COUNTA(H32:L32)</f>
        <v>1</v>
      </c>
      <c r="O32" s="3" t="n">
        <v>845</v>
      </c>
      <c r="P32" s="3" t="str">
        <f aca="false">UPPER(_xlfn.CONCAT(LEFT(D32,3),O32,LEFT(C32,3)))</f>
        <v>WAT845STE</v>
      </c>
      <c r="Q32" s="4" t="str">
        <f aca="false">IF(H32&lt;&gt;"", _xlfn.CONCAT("Motion ",IF($N32&gt;1,"5",""),$O32), "")</f>
        <v/>
      </c>
      <c r="R32" s="4" t="str">
        <f aca="false">IF(I32&lt;&gt;"", _xlfn.CONCAT("Motion ",IF($N32&gt;1,"4",""),$O32), "")</f>
        <v/>
      </c>
      <c r="S32" s="4" t="str">
        <f aca="false">IF(J32&lt;&gt;"", _xlfn.CONCAT("Motion ",$O32), "")</f>
        <v>Motion 845</v>
      </c>
      <c r="T32" s="4" t="str">
        <f aca="false">IF(K32&lt;&gt;"", _xlfn.CONCAT("Motion ",IF($N32&gt;1,"2",""),$O32), "")</f>
        <v/>
      </c>
      <c r="U32" s="4" t="str">
        <f aca="false">IF(L32&lt;&gt;"", _xlfn.CONCAT("Motion ",IF($N32&gt;1,"1",""),$O32), "")</f>
        <v/>
      </c>
    </row>
    <row r="33" customFormat="false" ht="15" hidden="false" customHeight="false" outlineLevel="0" collapsed="false">
      <c r="A33" s="0" t="n">
        <v>44</v>
      </c>
      <c r="B33" s="0" t="s">
        <v>16</v>
      </c>
      <c r="C33" s="0" t="s">
        <v>78</v>
      </c>
      <c r="D33" s="0" t="s">
        <v>79</v>
      </c>
      <c r="F33" s="1" t="s">
        <v>35</v>
      </c>
      <c r="I33" s="2" t="s">
        <v>20</v>
      </c>
      <c r="J33" s="2" t="s">
        <v>21</v>
      </c>
      <c r="M33" s="3" t="str">
        <f aca="false">IF(A33-A32&lt;&gt;1,A33-A32,"")</f>
        <v/>
      </c>
      <c r="N33" s="3" t="n">
        <f aca="false">COUNTA(H33:L33)</f>
        <v>2</v>
      </c>
      <c r="O33" s="3" t="n">
        <v>872</v>
      </c>
      <c r="P33" s="3" t="str">
        <f aca="false">UPPER(_xlfn.CONCAT(LEFT(D33,3),O33,LEFT(C33,3)))</f>
        <v>LOR872BRE</v>
      </c>
      <c r="Q33" s="4" t="str">
        <f aca="false">IF(H33&lt;&gt;"", _xlfn.CONCAT("Motion ",IF($N33&gt;1,"5",""),$O33), "")</f>
        <v/>
      </c>
      <c r="R33" s="4" t="str">
        <f aca="false">IF(I33&lt;&gt;"", _xlfn.CONCAT("Motion ",IF($N33&gt;1,"4",""),$O33), "")</f>
        <v>Motion 4872</v>
      </c>
      <c r="S33" s="4" t="str">
        <f aca="false">IF(J33&lt;&gt;"", _xlfn.CONCAT("Motion ",$O33), "")</f>
        <v>Motion 872</v>
      </c>
      <c r="T33" s="4" t="str">
        <f aca="false">IF(K33&lt;&gt;"", _xlfn.CONCAT("Motion ",IF($N33&gt;1,"2",""),$O33), "")</f>
        <v/>
      </c>
      <c r="U33" s="4" t="str">
        <f aca="false">IF(L33&lt;&gt;"", _xlfn.CONCAT("Motion ",IF($N33&gt;1,"1",""),$O33), "")</f>
        <v/>
      </c>
    </row>
    <row r="34" customFormat="false" ht="15" hidden="false" customHeight="false" outlineLevel="0" collapsed="false">
      <c r="A34" s="0" t="n">
        <v>45</v>
      </c>
      <c r="B34" s="0" t="s">
        <v>16</v>
      </c>
      <c r="C34" s="0" t="s">
        <v>80</v>
      </c>
      <c r="D34" s="0" t="s">
        <v>79</v>
      </c>
      <c r="F34" s="1" t="s">
        <v>35</v>
      </c>
      <c r="J34" s="2" t="s">
        <v>21</v>
      </c>
      <c r="M34" s="3" t="str">
        <f aca="false">IF(A34-A33&lt;&gt;1,A34-A33,"")</f>
        <v/>
      </c>
      <c r="N34" s="3" t="n">
        <f aca="false">COUNTA(H34:L34)</f>
        <v>1</v>
      </c>
      <c r="O34" s="3" t="n">
        <v>1037</v>
      </c>
      <c r="P34" s="3" t="str">
        <f aca="false">UPPER(_xlfn.CONCAT(LEFT(D34,3),O34,LEFT(C34,3)))</f>
        <v>LOR1037FRA</v>
      </c>
      <c r="Q34" s="4" t="str">
        <f aca="false">IF(H34&lt;&gt;"", _xlfn.CONCAT("Motion ",IF($N34&gt;1,"5",""),$O34), "")</f>
        <v/>
      </c>
      <c r="R34" s="4" t="str">
        <f aca="false">IF(I34&lt;&gt;"", _xlfn.CONCAT("Motion ",IF($N34&gt;1,"4",""),$O34), "")</f>
        <v/>
      </c>
      <c r="S34" s="4" t="str">
        <f aca="false">IF(J34&lt;&gt;"", _xlfn.CONCAT("Motion ",$O34), "")</f>
        <v>Motion 1037</v>
      </c>
      <c r="T34" s="4" t="str">
        <f aca="false">IF(K34&lt;&gt;"", _xlfn.CONCAT("Motion ",IF($N34&gt;1,"2",""),$O34), "")</f>
        <v/>
      </c>
      <c r="U34" s="4" t="str">
        <f aca="false">IF(L34&lt;&gt;"", _xlfn.CONCAT("Motion ",IF($N34&gt;1,"1",""),$O34), "")</f>
        <v/>
      </c>
    </row>
    <row r="35" customFormat="false" ht="15" hidden="false" customHeight="false" outlineLevel="0" collapsed="false">
      <c r="A35" s="0" t="n">
        <v>46</v>
      </c>
      <c r="B35" s="0" t="s">
        <v>16</v>
      </c>
      <c r="C35" s="0" t="s">
        <v>81</v>
      </c>
      <c r="D35" s="0" t="s">
        <v>39</v>
      </c>
      <c r="F35" s="1" t="s">
        <v>35</v>
      </c>
      <c r="I35" s="2" t="s">
        <v>20</v>
      </c>
      <c r="J35" s="2" t="s">
        <v>21</v>
      </c>
      <c r="M35" s="3" t="str">
        <f aca="false">IF(A35-A34&lt;&gt;1,A35-A34,"")</f>
        <v/>
      </c>
      <c r="N35" s="3" t="n">
        <f aca="false">COUNTA(H35:L35)</f>
        <v>2</v>
      </c>
      <c r="O35" s="3" t="n">
        <v>998</v>
      </c>
      <c r="P35" s="3" t="str">
        <f aca="false">UPPER(_xlfn.CONCAT(LEFT(D35,3),O35,LEFT(C35,3)))</f>
        <v>DIC998FIN</v>
      </c>
      <c r="Q35" s="4" t="str">
        <f aca="false">IF(H35&lt;&gt;"", _xlfn.CONCAT("Motion ",IF($N35&gt;1,"5",""),$O35), "")</f>
        <v/>
      </c>
      <c r="R35" s="4" t="str">
        <f aca="false">IF(I35&lt;&gt;"", _xlfn.CONCAT("Motion ",IF($N35&gt;1,"4",""),$O35), "")</f>
        <v>Motion 4998</v>
      </c>
      <c r="S35" s="4" t="str">
        <f aca="false">IF(J35&lt;&gt;"", _xlfn.CONCAT("Motion ",$O35), "")</f>
        <v>Motion 998</v>
      </c>
      <c r="T35" s="4" t="str">
        <f aca="false">IF(K35&lt;&gt;"", _xlfn.CONCAT("Motion ",IF($N35&gt;1,"2",""),$O35), "")</f>
        <v/>
      </c>
      <c r="U35" s="4" t="str">
        <f aca="false">IF(L35&lt;&gt;"", _xlfn.CONCAT("Motion ",IF($N35&gt;1,"1",""),$O35), "")</f>
        <v/>
      </c>
    </row>
    <row r="36" customFormat="false" ht="15" hidden="false" customHeight="false" outlineLevel="0" collapsed="false">
      <c r="A36" s="0" t="n">
        <v>47</v>
      </c>
      <c r="B36" s="0" t="s">
        <v>16</v>
      </c>
      <c r="C36" s="0" t="s">
        <v>18</v>
      </c>
      <c r="D36" s="0" t="s">
        <v>82</v>
      </c>
      <c r="F36" s="1" t="s">
        <v>19</v>
      </c>
      <c r="G36" s="10" t="n">
        <v>623</v>
      </c>
      <c r="J36" s="2" t="s">
        <v>21</v>
      </c>
      <c r="M36" s="3" t="str">
        <f aca="false">IF(A36-A35&lt;&gt;1,A36-A35,"")</f>
        <v/>
      </c>
      <c r="N36" s="3" t="n">
        <f aca="false">COUNTA(H36:L36)</f>
        <v>1</v>
      </c>
      <c r="O36" s="11" t="n">
        <f aca="false">G36</f>
        <v>623</v>
      </c>
      <c r="P36" s="3" t="str">
        <f aca="false">UPPER(_xlfn.CONCAT(LEFT(D36,3),O36,LEFT(C36,3)))</f>
        <v>FUL623GEO</v>
      </c>
      <c r="Q36" s="4" t="str">
        <f aca="false">IF(H36&lt;&gt;"", _xlfn.CONCAT("Motion ",IF($N36&gt;1,"5",""),$O36), "")</f>
        <v/>
      </c>
      <c r="R36" s="4" t="str">
        <f aca="false">IF(I36&lt;&gt;"", _xlfn.CONCAT("Motion ",IF($N36&gt;1,"4",""),$O36), "")</f>
        <v/>
      </c>
      <c r="S36" s="4" t="str">
        <f aca="false">IF(J36&lt;&gt;"", _xlfn.CONCAT("Motion ",$O36), "")</f>
        <v>Motion 623</v>
      </c>
      <c r="T36" s="4" t="str">
        <f aca="false">IF(K36&lt;&gt;"", _xlfn.CONCAT("Motion ",IF($N36&gt;1,"2",""),$O36), "")</f>
        <v/>
      </c>
      <c r="U36" s="4" t="str">
        <f aca="false">IF(L36&lt;&gt;"", _xlfn.CONCAT("Motion ",IF($N36&gt;1,"1",""),$O36), "")</f>
        <v/>
      </c>
    </row>
    <row r="37" customFormat="false" ht="15" hidden="false" customHeight="false" outlineLevel="0" collapsed="false">
      <c r="A37" s="0" t="n">
        <v>48</v>
      </c>
      <c r="B37" s="0" t="s">
        <v>16</v>
      </c>
      <c r="C37" s="0" t="s">
        <v>83</v>
      </c>
      <c r="D37" s="0" t="s">
        <v>84</v>
      </c>
      <c r="F37" s="1" t="s">
        <v>35</v>
      </c>
      <c r="J37" s="2" t="s">
        <v>21</v>
      </c>
      <c r="M37" s="3" t="str">
        <f aca="false">IF(A37-A36&lt;&gt;1,A37-A36,"")</f>
        <v/>
      </c>
      <c r="N37" s="3" t="n">
        <f aca="false">COUNTA(H37:L37)</f>
        <v>1</v>
      </c>
      <c r="O37" s="3" t="n">
        <v>815</v>
      </c>
      <c r="P37" s="3" t="str">
        <f aca="false">UPPER(_xlfn.CONCAT(LEFT(D37,3),O37,LEFT(C37,3)))</f>
        <v>SPA815BOB</v>
      </c>
      <c r="Q37" s="4" t="str">
        <f aca="false">IF(H37&lt;&gt;"", _xlfn.CONCAT("Motion ",IF($N37&gt;1,"5",""),$O37), "")</f>
        <v/>
      </c>
      <c r="R37" s="4" t="str">
        <f aca="false">IF(I37&lt;&gt;"", _xlfn.CONCAT("Motion ",IF($N37&gt;1,"4",""),$O37), "")</f>
        <v/>
      </c>
      <c r="S37" s="4" t="str">
        <f aca="false">IF(J37&lt;&gt;"", _xlfn.CONCAT("Motion ",$O37), "")</f>
        <v>Motion 815</v>
      </c>
      <c r="T37" s="4" t="str">
        <f aca="false">IF(K37&lt;&gt;"", _xlfn.CONCAT("Motion ",IF($N37&gt;1,"2",""),$O37), "")</f>
        <v/>
      </c>
      <c r="U37" s="4" t="str">
        <f aca="false">IF(L37&lt;&gt;"", _xlfn.CONCAT("Motion ",IF($N37&gt;1,"1",""),$O37), "")</f>
        <v/>
      </c>
    </row>
    <row r="38" customFormat="false" ht="15" hidden="false" customHeight="false" outlineLevel="0" collapsed="false">
      <c r="A38" s="0" t="n">
        <v>49</v>
      </c>
      <c r="B38" s="0" t="s">
        <v>16</v>
      </c>
      <c r="C38" s="0" t="s">
        <v>85</v>
      </c>
      <c r="D38" s="0" t="s">
        <v>86</v>
      </c>
      <c r="F38" s="1" t="s">
        <v>35</v>
      </c>
      <c r="J38" s="2" t="s">
        <v>21</v>
      </c>
      <c r="M38" s="3" t="str">
        <f aca="false">IF(A38-A37&lt;&gt;1,A38-A37,"")</f>
        <v/>
      </c>
      <c r="N38" s="3" t="n">
        <f aca="false">COUNTA(H38:L38)</f>
        <v>1</v>
      </c>
      <c r="O38" s="3" t="n">
        <v>1033</v>
      </c>
      <c r="P38" s="3" t="str">
        <f aca="false">UPPER(_xlfn.CONCAT(LEFT(D38,3),O38,LEFT(C38,3)))</f>
        <v>ARN1033PAU</v>
      </c>
      <c r="Q38" s="4" t="str">
        <f aca="false">IF(H38&lt;&gt;"", _xlfn.CONCAT("Motion ",IF($N38&gt;1,"5",""),$O38), "")</f>
        <v/>
      </c>
      <c r="R38" s="4" t="str">
        <f aca="false">IF(I38&lt;&gt;"", _xlfn.CONCAT("Motion ",IF($N38&gt;1,"4",""),$O38), "")</f>
        <v/>
      </c>
      <c r="S38" s="4" t="str">
        <f aca="false">IF(J38&lt;&gt;"", _xlfn.CONCAT("Motion ",$O38), "")</f>
        <v>Motion 1033</v>
      </c>
      <c r="T38" s="4" t="str">
        <f aca="false">IF(K38&lt;&gt;"", _xlfn.CONCAT("Motion ",IF($N38&gt;1,"2",""),$O38), "")</f>
        <v/>
      </c>
      <c r="U38" s="4" t="str">
        <f aca="false">IF(L38&lt;&gt;"", _xlfn.CONCAT("Motion ",IF($N38&gt;1,"1",""),$O38), "")</f>
        <v/>
      </c>
    </row>
    <row r="39" customFormat="false" ht="15" hidden="false" customHeight="false" outlineLevel="0" collapsed="false">
      <c r="A39" s="0" t="n">
        <v>50</v>
      </c>
      <c r="B39" s="0" t="s">
        <v>16</v>
      </c>
      <c r="C39" s="0" t="s">
        <v>76</v>
      </c>
      <c r="D39" s="0" t="s">
        <v>87</v>
      </c>
      <c r="F39" s="1" t="s">
        <v>35</v>
      </c>
      <c r="J39" s="2" t="s">
        <v>21</v>
      </c>
      <c r="M39" s="3" t="str">
        <f aca="false">IF(A39-A38&lt;&gt;1,A39-A38,"")</f>
        <v/>
      </c>
      <c r="N39" s="3" t="n">
        <f aca="false">COUNTA(H39:L39)</f>
        <v>1</v>
      </c>
      <c r="O39" s="3" t="n">
        <v>838</v>
      </c>
      <c r="P39" s="3" t="str">
        <f aca="false">UPPER(_xlfn.CONCAT(LEFT(D39,3),O39,LEFT(C39,3)))</f>
        <v>THO838STE</v>
      </c>
      <c r="Q39" s="4" t="str">
        <f aca="false">IF(H39&lt;&gt;"", _xlfn.CONCAT("Motion ",IF($N39&gt;1,"5",""),$O39), "")</f>
        <v/>
      </c>
      <c r="R39" s="4" t="str">
        <f aca="false">IF(I39&lt;&gt;"", _xlfn.CONCAT("Motion ",IF($N39&gt;1,"4",""),$O39), "")</f>
        <v/>
      </c>
      <c r="S39" s="4" t="str">
        <f aca="false">IF(J39&lt;&gt;"", _xlfn.CONCAT("Motion ",$O39), "")</f>
        <v>Motion 838</v>
      </c>
      <c r="T39" s="4" t="str">
        <f aca="false">IF(K39&lt;&gt;"", _xlfn.CONCAT("Motion ",IF($N39&gt;1,"2",""),$O39), "")</f>
        <v/>
      </c>
      <c r="U39" s="4" t="str">
        <f aca="false">IF(L39&lt;&gt;"", _xlfn.CONCAT("Motion ",IF($N39&gt;1,"1",""),$O39), "")</f>
        <v/>
      </c>
    </row>
    <row r="40" customFormat="false" ht="15" hidden="false" customHeight="false" outlineLevel="0" collapsed="false">
      <c r="A40" s="0" t="n">
        <v>51</v>
      </c>
      <c r="B40" s="0" t="s">
        <v>52</v>
      </c>
      <c r="C40" s="0" t="s">
        <v>88</v>
      </c>
      <c r="D40" s="0" t="s">
        <v>89</v>
      </c>
      <c r="F40" s="1" t="s">
        <v>35</v>
      </c>
      <c r="J40" s="2" t="s">
        <v>21</v>
      </c>
      <c r="M40" s="3" t="str">
        <f aca="false">IF(A40-A39&lt;&gt;1,A40-A39,"")</f>
        <v/>
      </c>
      <c r="N40" s="3" t="n">
        <f aca="false">COUNTA(H40:L40)</f>
        <v>1</v>
      </c>
      <c r="O40" s="3" t="n">
        <v>819</v>
      </c>
      <c r="P40" s="3" t="str">
        <f aca="false">UPPER(_xlfn.CONCAT(LEFT(D40,3),O40,LEFT(C40,3)))</f>
        <v>WAT819JOE</v>
      </c>
      <c r="Q40" s="4" t="str">
        <f aca="false">IF(H40&lt;&gt;"", _xlfn.CONCAT("Motion ",IF($N40&gt;1,"5",""),$O40), "")</f>
        <v/>
      </c>
      <c r="R40" s="4" t="str">
        <f aca="false">IF(I40&lt;&gt;"", _xlfn.CONCAT("Motion ",IF($N40&gt;1,"4",""),$O40), "")</f>
        <v/>
      </c>
      <c r="S40" s="4" t="str">
        <f aca="false">IF(J40&lt;&gt;"", _xlfn.CONCAT("Motion ",$O40), "")</f>
        <v>Motion 819</v>
      </c>
      <c r="T40" s="4" t="str">
        <f aca="false">IF(K40&lt;&gt;"", _xlfn.CONCAT("Motion ",IF($N40&gt;1,"2",""),$O40), "")</f>
        <v/>
      </c>
      <c r="U40" s="4" t="str">
        <f aca="false">IF(L40&lt;&gt;"", _xlfn.CONCAT("Motion ",IF($N40&gt;1,"1",""),$O40), "")</f>
        <v/>
      </c>
    </row>
    <row r="41" customFormat="false" ht="15" hidden="false" customHeight="false" outlineLevel="0" collapsed="false">
      <c r="A41" s="0" t="n">
        <v>52</v>
      </c>
      <c r="B41" s="0" t="s">
        <v>52</v>
      </c>
      <c r="C41" s="0" t="s">
        <v>90</v>
      </c>
      <c r="D41" s="0" t="s">
        <v>91</v>
      </c>
      <c r="F41" s="1" t="s">
        <v>35</v>
      </c>
      <c r="J41" s="2" t="s">
        <v>21</v>
      </c>
      <c r="M41" s="3" t="str">
        <f aca="false">IF(A41-A40&lt;&gt;1,A41-A40,"")</f>
        <v/>
      </c>
      <c r="N41" s="3" t="n">
        <f aca="false">COUNTA(H41:L41)</f>
        <v>1</v>
      </c>
      <c r="O41" s="3" t="n">
        <v>853</v>
      </c>
      <c r="P41" s="3" t="str">
        <f aca="false">UPPER(_xlfn.CONCAT(LEFT(D41,3),O41,LEFT(C41,3)))</f>
        <v>DAF853CHR</v>
      </c>
      <c r="Q41" s="4" t="str">
        <f aca="false">IF(H41&lt;&gt;"", _xlfn.CONCAT("Motion ",IF($N41&gt;1,"5",""),$O41), "")</f>
        <v/>
      </c>
      <c r="R41" s="4" t="str">
        <f aca="false">IF(I41&lt;&gt;"", _xlfn.CONCAT("Motion ",IF($N41&gt;1,"4",""),$O41), "")</f>
        <v/>
      </c>
      <c r="S41" s="4" t="str">
        <f aca="false">IF(J41&lt;&gt;"", _xlfn.CONCAT("Motion ",$O41), "")</f>
        <v>Motion 853</v>
      </c>
      <c r="T41" s="4" t="str">
        <f aca="false">IF(K41&lt;&gt;"", _xlfn.CONCAT("Motion ",IF($N41&gt;1,"2",""),$O41), "")</f>
        <v/>
      </c>
      <c r="U41" s="4" t="str">
        <f aca="false">IF(L41&lt;&gt;"", _xlfn.CONCAT("Motion ",IF($N41&gt;1,"1",""),$O41), "")</f>
        <v/>
      </c>
    </row>
    <row r="42" customFormat="false" ht="15" hidden="false" customHeight="false" outlineLevel="0" collapsed="false">
      <c r="A42" s="0" t="n">
        <v>53</v>
      </c>
      <c r="B42" s="0" t="s">
        <v>16</v>
      </c>
      <c r="C42" s="0" t="s">
        <v>65</v>
      </c>
      <c r="D42" s="0" t="s">
        <v>92</v>
      </c>
      <c r="F42" s="1" t="s">
        <v>35</v>
      </c>
      <c r="J42" s="2" t="s">
        <v>21</v>
      </c>
      <c r="M42" s="3" t="str">
        <f aca="false">IF(A42-A41&lt;&gt;1,A42-A41,"")</f>
        <v/>
      </c>
      <c r="N42" s="3" t="n">
        <f aca="false">COUNTA(H42:L42)</f>
        <v>1</v>
      </c>
      <c r="O42" s="3" t="n">
        <v>814</v>
      </c>
      <c r="P42" s="3" t="str">
        <f aca="false">UPPER(_xlfn.CONCAT(LEFT(D42,3),O42,LEFT(C42,3)))</f>
        <v>WIL814JON</v>
      </c>
      <c r="Q42" s="4" t="str">
        <f aca="false">IF(H42&lt;&gt;"", _xlfn.CONCAT("Motion ",IF($N42&gt;1,"5",""),$O42), "")</f>
        <v/>
      </c>
      <c r="R42" s="4" t="str">
        <f aca="false">IF(I42&lt;&gt;"", _xlfn.CONCAT("Motion ",IF($N42&gt;1,"4",""),$O42), "")</f>
        <v/>
      </c>
      <c r="S42" s="4" t="str">
        <f aca="false">IF(J42&lt;&gt;"", _xlfn.CONCAT("Motion ",$O42), "")</f>
        <v>Motion 814</v>
      </c>
      <c r="T42" s="4" t="str">
        <f aca="false">IF(K42&lt;&gt;"", _xlfn.CONCAT("Motion ",IF($N42&gt;1,"2",""),$O42), "")</f>
        <v/>
      </c>
      <c r="U42" s="4" t="str">
        <f aca="false">IF(L42&lt;&gt;"", _xlfn.CONCAT("Motion ",IF($N42&gt;1,"1",""),$O42), "")</f>
        <v/>
      </c>
    </row>
    <row r="43" customFormat="false" ht="15" hidden="false" customHeight="false" outlineLevel="0" collapsed="false">
      <c r="A43" s="0" t="n">
        <v>54</v>
      </c>
      <c r="B43" s="0" t="s">
        <v>16</v>
      </c>
      <c r="C43" s="0" t="s">
        <v>93</v>
      </c>
      <c r="D43" s="0" t="s">
        <v>94</v>
      </c>
      <c r="F43" s="1" t="s">
        <v>35</v>
      </c>
      <c r="H43" s="2" t="s">
        <v>40</v>
      </c>
      <c r="M43" s="3" t="str">
        <f aca="false">IF(A43-A42&lt;&gt;1,A43-A42,"")</f>
        <v/>
      </c>
      <c r="N43" s="3" t="n">
        <f aca="false">COUNTA(H43:L43)</f>
        <v>1</v>
      </c>
      <c r="O43" s="3" t="n">
        <v>643</v>
      </c>
      <c r="P43" s="3" t="str">
        <f aca="false">UPPER(_xlfn.CONCAT(LEFT(D43,3),O43,LEFT(C43,3)))</f>
        <v>SHE643IAN</v>
      </c>
      <c r="Q43" s="4" t="str">
        <f aca="false">IF(H43&lt;&gt;"", _xlfn.CONCAT("Motion ",IF($N43&gt;1,"5",""),$O43), "")</f>
        <v>Motion 643</v>
      </c>
      <c r="R43" s="4" t="str">
        <f aca="false">IF(I43&lt;&gt;"", _xlfn.CONCAT("Motion ",IF($N43&gt;1,"4",""),$O43), "")</f>
        <v/>
      </c>
      <c r="S43" s="4" t="str">
        <f aca="false">IF(J43&lt;&gt;"", _xlfn.CONCAT("Motion ",$O43), "")</f>
        <v/>
      </c>
      <c r="T43" s="4" t="str">
        <f aca="false">IF(K43&lt;&gt;"", _xlfn.CONCAT("Motion ",IF($N43&gt;1,"2",""),$O43), "")</f>
        <v/>
      </c>
      <c r="U43" s="4" t="str">
        <f aca="false">IF(L43&lt;&gt;"", _xlfn.CONCAT("Motion ",IF($N43&gt;1,"1",""),$O43), "")</f>
        <v/>
      </c>
    </row>
    <row r="44" customFormat="false" ht="15" hidden="false" customHeight="false" outlineLevel="0" collapsed="false">
      <c r="A44" s="0" t="n">
        <v>55</v>
      </c>
      <c r="B44" s="0" t="s">
        <v>16</v>
      </c>
      <c r="C44" s="0" t="s">
        <v>95</v>
      </c>
      <c r="D44" s="0" t="s">
        <v>96</v>
      </c>
      <c r="G44" s="10" t="n">
        <v>846</v>
      </c>
      <c r="K44" s="2" t="s">
        <v>29</v>
      </c>
      <c r="M44" s="3" t="str">
        <f aca="false">IF(A44-A43&lt;&gt;1,A44-A43,"")</f>
        <v/>
      </c>
      <c r="N44" s="3" t="n">
        <f aca="false">COUNTA(H44:L44)</f>
        <v>1</v>
      </c>
      <c r="O44" s="11" t="n">
        <f aca="false">G44</f>
        <v>846</v>
      </c>
      <c r="P44" s="3" t="str">
        <f aca="false">UPPER(_xlfn.CONCAT(LEFT(D44,3),O44,LEFT(C44,3)))</f>
        <v>BUR846EMI</v>
      </c>
      <c r="Q44" s="4" t="str">
        <f aca="false">IF(H44&lt;&gt;"", _xlfn.CONCAT("Motion ",IF($N44&gt;1,"5",""),$O44), "")</f>
        <v/>
      </c>
      <c r="R44" s="4" t="str">
        <f aca="false">IF(I44&lt;&gt;"", _xlfn.CONCAT("Motion ",IF($N44&gt;1,"4",""),$O44), "")</f>
        <v/>
      </c>
      <c r="S44" s="4" t="str">
        <f aca="false">IF(J44&lt;&gt;"", _xlfn.CONCAT("Motion ",$O44), "")</f>
        <v/>
      </c>
      <c r="T44" s="4" t="str">
        <f aca="false">IF(K44&lt;&gt;"", _xlfn.CONCAT("Motion ",IF($N44&gt;1,"2",""),$O44), "")</f>
        <v>Motion 846</v>
      </c>
      <c r="U44" s="4" t="str">
        <f aca="false">IF(L44&lt;&gt;"", _xlfn.CONCAT("Motion ",IF($N44&gt;1,"1",""),$O44), "")</f>
        <v/>
      </c>
    </row>
    <row r="45" customFormat="false" ht="15" hidden="false" customHeight="false" outlineLevel="0" collapsed="false">
      <c r="A45" s="0" t="n">
        <v>56</v>
      </c>
      <c r="B45" s="0" t="s">
        <v>16</v>
      </c>
      <c r="C45" s="0" t="s">
        <v>97</v>
      </c>
      <c r="D45" s="0" t="s">
        <v>98</v>
      </c>
      <c r="F45" s="1" t="s">
        <v>35</v>
      </c>
      <c r="I45" s="2" t="s">
        <v>20</v>
      </c>
      <c r="J45" s="2" t="s">
        <v>21</v>
      </c>
      <c r="M45" s="3" t="str">
        <f aca="false">IF(A45-A44&lt;&gt;1,A45-A44,"")</f>
        <v/>
      </c>
      <c r="N45" s="3" t="n">
        <f aca="false">COUNTA(H45:L45)</f>
        <v>2</v>
      </c>
      <c r="O45" s="3" t="n">
        <v>854</v>
      </c>
      <c r="P45" s="3" t="str">
        <f aca="false">UPPER(_xlfn.CONCAT(LEFT(D45,3),O45,LEFT(C45,3)))</f>
        <v>DVO854PAV</v>
      </c>
      <c r="Q45" s="4" t="str">
        <f aca="false">IF(H45&lt;&gt;"", _xlfn.CONCAT("Motion ",IF($N45&gt;1,"5",""),$O45), "")</f>
        <v/>
      </c>
      <c r="R45" s="4" t="str">
        <f aca="false">IF(I45&lt;&gt;"", _xlfn.CONCAT("Motion ",IF($N45&gt;1,"4",""),$O45), "")</f>
        <v>Motion 4854</v>
      </c>
      <c r="S45" s="4" t="str">
        <f aca="false">IF(J45&lt;&gt;"", _xlfn.CONCAT("Motion ",$O45), "")</f>
        <v>Motion 854</v>
      </c>
      <c r="T45" s="4" t="str">
        <f aca="false">IF(K45&lt;&gt;"", _xlfn.CONCAT("Motion ",IF($N45&gt;1,"2",""),$O45), "")</f>
        <v/>
      </c>
      <c r="U45" s="4" t="str">
        <f aca="false">IF(L45&lt;&gt;"", _xlfn.CONCAT("Motion ",IF($N45&gt;1,"1",""),$O45), "")</f>
        <v/>
      </c>
    </row>
    <row r="46" customFormat="false" ht="15" hidden="false" customHeight="false" outlineLevel="0" collapsed="false">
      <c r="A46" s="0" t="n">
        <v>57</v>
      </c>
      <c r="B46" s="0" t="s">
        <v>16</v>
      </c>
      <c r="C46" s="0" t="s">
        <v>99</v>
      </c>
      <c r="D46" s="0" t="s">
        <v>100</v>
      </c>
      <c r="F46" s="1" t="s">
        <v>35</v>
      </c>
      <c r="J46" s="2" t="s">
        <v>21</v>
      </c>
      <c r="L46" s="2" t="s">
        <v>101</v>
      </c>
      <c r="M46" s="3" t="str">
        <f aca="false">IF(A46-A45&lt;&gt;1,A46-A45,"")</f>
        <v/>
      </c>
      <c r="N46" s="3" t="n">
        <f aca="false">COUNTA(H46:L46)</f>
        <v>2</v>
      </c>
      <c r="O46" s="3" t="n">
        <v>641</v>
      </c>
      <c r="P46" s="3" t="str">
        <f aca="false">UPPER(_xlfn.CONCAT(LEFT(D46,3),O46,LEFT(C46,3)))</f>
        <v>RUS641ROB</v>
      </c>
      <c r="Q46" s="4" t="str">
        <f aca="false">IF(H46&lt;&gt;"", _xlfn.CONCAT("Motion ",IF($N46&gt;1,"5",""),$O46), "")</f>
        <v/>
      </c>
      <c r="R46" s="4" t="str">
        <f aca="false">IF(I46&lt;&gt;"", _xlfn.CONCAT("Motion ",IF($N46&gt;1,"4",""),$O46), "")</f>
        <v/>
      </c>
      <c r="S46" s="4" t="str">
        <f aca="false">IF(J46&lt;&gt;"", _xlfn.CONCAT("Motion ",$O46), "")</f>
        <v>Motion 641</v>
      </c>
      <c r="T46" s="4" t="str">
        <f aca="false">IF(K46&lt;&gt;"", _xlfn.CONCAT("Motion ",IF($N46&gt;1,"2",""),$O46), "")</f>
        <v/>
      </c>
      <c r="U46" s="4" t="str">
        <f aca="false">IF(L46&lt;&gt;"", _xlfn.CONCAT("Motion ",IF($N46&gt;1,"1",""),$O46), "")</f>
        <v>Motion 1641</v>
      </c>
    </row>
    <row r="47" customFormat="false" ht="15" hidden="false" customHeight="false" outlineLevel="0" collapsed="false">
      <c r="A47" s="0" t="n">
        <v>58</v>
      </c>
      <c r="B47" s="0" t="s">
        <v>16</v>
      </c>
      <c r="C47" s="0" t="s">
        <v>102</v>
      </c>
      <c r="D47" s="0" t="s">
        <v>103</v>
      </c>
      <c r="F47" s="1" t="s">
        <v>19</v>
      </c>
      <c r="J47" s="2" t="s">
        <v>21</v>
      </c>
      <c r="M47" s="3" t="str">
        <f aca="false">IF(A47-A46&lt;&gt;1,A47-A46,"")</f>
        <v/>
      </c>
      <c r="N47" s="3" t="n">
        <f aca="false">COUNTA(H47:L47)</f>
        <v>1</v>
      </c>
      <c r="O47" s="3" t="n">
        <v>1020</v>
      </c>
      <c r="P47" s="3" t="str">
        <f aca="false">UPPER(_xlfn.CONCAT(LEFT(D47,3),O47,LEFT(C47,3)))</f>
        <v>BRA1020JAM</v>
      </c>
      <c r="Q47" s="4" t="str">
        <f aca="false">IF(H47&lt;&gt;"", _xlfn.CONCAT("Motion ",IF($N47&gt;1,"5",""),$O47), "")</f>
        <v/>
      </c>
      <c r="R47" s="4" t="str">
        <f aca="false">IF(I47&lt;&gt;"", _xlfn.CONCAT("Motion ",IF($N47&gt;1,"4",""),$O47), "")</f>
        <v/>
      </c>
      <c r="S47" s="4" t="str">
        <f aca="false">IF(J47&lt;&gt;"", _xlfn.CONCAT("Motion ",$O47), "")</f>
        <v>Motion 1020</v>
      </c>
      <c r="T47" s="4" t="str">
        <f aca="false">IF(K47&lt;&gt;"", _xlfn.CONCAT("Motion ",IF($N47&gt;1,"2",""),$O47), "")</f>
        <v/>
      </c>
      <c r="U47" s="4" t="str">
        <f aca="false">IF(L47&lt;&gt;"", _xlfn.CONCAT("Motion ",IF($N47&gt;1,"1",""),$O47), "")</f>
        <v/>
      </c>
    </row>
    <row r="48" customFormat="false" ht="15" hidden="false" customHeight="false" outlineLevel="0" collapsed="false">
      <c r="A48" s="0" t="n">
        <v>59</v>
      </c>
      <c r="B48" s="0" t="s">
        <v>16</v>
      </c>
      <c r="C48" s="0" t="s">
        <v>104</v>
      </c>
      <c r="D48" s="0" t="s">
        <v>105</v>
      </c>
      <c r="F48" s="1" t="s">
        <v>19</v>
      </c>
      <c r="J48" s="2" t="s">
        <v>21</v>
      </c>
      <c r="M48" s="3" t="str">
        <f aca="false">IF(A48-A47&lt;&gt;1,A48-A47,"")</f>
        <v/>
      </c>
      <c r="N48" s="3" t="n">
        <f aca="false">COUNTA(H48:L48)</f>
        <v>1</v>
      </c>
      <c r="O48" s="3" t="n">
        <v>858</v>
      </c>
      <c r="P48" s="3" t="str">
        <f aca="false">UPPER(_xlfn.CONCAT(LEFT(D48,3),O48,LEFT(C48,3)))</f>
        <v>OLI858JOH</v>
      </c>
      <c r="Q48" s="4" t="str">
        <f aca="false">IF(H48&lt;&gt;"", _xlfn.CONCAT("Motion ",IF($N48&gt;1,"5",""),$O48), "")</f>
        <v/>
      </c>
      <c r="R48" s="4" t="str">
        <f aca="false">IF(I48&lt;&gt;"", _xlfn.CONCAT("Motion ",IF($N48&gt;1,"4",""),$O48), "")</f>
        <v/>
      </c>
      <c r="S48" s="4" t="str">
        <f aca="false">IF(J48&lt;&gt;"", _xlfn.CONCAT("Motion ",$O48), "")</f>
        <v>Motion 858</v>
      </c>
      <c r="T48" s="4" t="str">
        <f aca="false">IF(K48&lt;&gt;"", _xlfn.CONCAT("Motion ",IF($N48&gt;1,"2",""),$O48), "")</f>
        <v/>
      </c>
      <c r="U48" s="4" t="str">
        <f aca="false">IF(L48&lt;&gt;"", _xlfn.CONCAT("Motion ",IF($N48&gt;1,"1",""),$O48), "")</f>
        <v/>
      </c>
    </row>
    <row r="49" customFormat="false" ht="15" hidden="false" customHeight="false" outlineLevel="0" collapsed="false">
      <c r="A49" s="0" t="n">
        <v>60</v>
      </c>
      <c r="B49" s="0" t="s">
        <v>16</v>
      </c>
      <c r="C49" s="0" t="s">
        <v>106</v>
      </c>
      <c r="D49" s="0" t="s">
        <v>107</v>
      </c>
      <c r="F49" s="1" t="s">
        <v>35</v>
      </c>
      <c r="J49" s="2" t="s">
        <v>21</v>
      </c>
      <c r="M49" s="3" t="str">
        <f aca="false">IF(A49-A48&lt;&gt;1,A49-A48,"")</f>
        <v/>
      </c>
      <c r="N49" s="3" t="n">
        <f aca="false">COUNTA(H49:L49)</f>
        <v>1</v>
      </c>
      <c r="O49" s="3" t="n">
        <v>869</v>
      </c>
      <c r="P49" s="3" t="str">
        <f aca="false">UPPER(_xlfn.CONCAT(LEFT(D49,3),O49,LEFT(C49,3)))</f>
        <v>BAR869ANT</v>
      </c>
      <c r="Q49" s="4" t="str">
        <f aca="false">IF(H49&lt;&gt;"", _xlfn.CONCAT("Motion ",IF($N49&gt;1,"5",""),$O49), "")</f>
        <v/>
      </c>
      <c r="R49" s="4" t="str">
        <f aca="false">IF(I49&lt;&gt;"", _xlfn.CONCAT("Motion ",IF($N49&gt;1,"4",""),$O49), "")</f>
        <v/>
      </c>
      <c r="S49" s="4" t="str">
        <f aca="false">IF(J49&lt;&gt;"", _xlfn.CONCAT("Motion ",$O49), "")</f>
        <v>Motion 869</v>
      </c>
      <c r="T49" s="4" t="str">
        <f aca="false">IF(K49&lt;&gt;"", _xlfn.CONCAT("Motion ",IF($N49&gt;1,"2",""),$O49), "")</f>
        <v/>
      </c>
      <c r="U49" s="4" t="str">
        <f aca="false">IF(L49&lt;&gt;"", _xlfn.CONCAT("Motion ",IF($N49&gt;1,"1",""),$O49), "")</f>
        <v/>
      </c>
    </row>
    <row r="50" customFormat="false" ht="15" hidden="false" customHeight="false" outlineLevel="0" collapsed="false">
      <c r="A50" s="0" t="n">
        <v>61</v>
      </c>
      <c r="B50" s="0" t="s">
        <v>16</v>
      </c>
      <c r="C50" s="0" t="s">
        <v>58</v>
      </c>
      <c r="D50" s="0" t="s">
        <v>108</v>
      </c>
      <c r="L50" s="2" t="s">
        <v>101</v>
      </c>
      <c r="M50" s="3" t="str">
        <f aca="false">IF(A50-A49&lt;&gt;1,A50-A49,"")</f>
        <v/>
      </c>
      <c r="N50" s="3" t="n">
        <f aca="false">COUNTA(H50:L50)</f>
        <v>1</v>
      </c>
      <c r="O50" s="3" t="n">
        <v>618</v>
      </c>
      <c r="P50" s="3" t="str">
        <f aca="false">UPPER(_xlfn.CONCAT(LEFT(D50,3),O50,LEFT(C50,3)))</f>
        <v>MAR618PET</v>
      </c>
      <c r="Q50" s="4" t="str">
        <f aca="false">IF(H50&lt;&gt;"", _xlfn.CONCAT("Motion ",IF($N50&gt;1,"5",""),$O50), "")</f>
        <v/>
      </c>
      <c r="R50" s="4" t="str">
        <f aca="false">IF(I50&lt;&gt;"", _xlfn.CONCAT("Motion ",IF($N50&gt;1,"4",""),$O50), "")</f>
        <v/>
      </c>
      <c r="S50" s="4" t="str">
        <f aca="false">IF(J50&lt;&gt;"", _xlfn.CONCAT("Motion ",$O50), "")</f>
        <v/>
      </c>
      <c r="T50" s="4" t="str">
        <f aca="false">IF(K50&lt;&gt;"", _xlfn.CONCAT("Motion ",IF($N50&gt;1,"2",""),$O50), "")</f>
        <v/>
      </c>
      <c r="U50" s="4" t="str">
        <f aca="false">IF(L50&lt;&gt;"", _xlfn.CONCAT("Motion ",IF($N50&gt;1,"1",""),$O50), "")</f>
        <v>Motion 618</v>
      </c>
    </row>
    <row r="51" customFormat="false" ht="15" hidden="false" customHeight="false" outlineLevel="0" collapsed="false">
      <c r="A51" s="0" t="n">
        <v>63</v>
      </c>
      <c r="B51" s="0" t="s">
        <v>16</v>
      </c>
      <c r="C51" s="0" t="s">
        <v>81</v>
      </c>
      <c r="D51" s="0" t="s">
        <v>109</v>
      </c>
      <c r="E51" s="1" t="s">
        <v>19</v>
      </c>
      <c r="F51" s="1" t="s">
        <v>19</v>
      </c>
      <c r="H51" s="2" t="s">
        <v>40</v>
      </c>
      <c r="M51" s="12" t="n">
        <f aca="false">IF(A51-A50&lt;&gt;1,A51-A50,"")</f>
        <v>2</v>
      </c>
      <c r="N51" s="3" t="n">
        <f aca="false">COUNTA(H51:L51)</f>
        <v>1</v>
      </c>
      <c r="O51" s="3" t="n">
        <v>827</v>
      </c>
      <c r="P51" s="3" t="str">
        <f aca="false">UPPER(_xlfn.CONCAT(LEFT(D51,3),O51,LEFT(C51,3)))</f>
        <v>BER827FIN</v>
      </c>
      <c r="Q51" s="4" t="str">
        <f aca="false">IF(H51&lt;&gt;"", _xlfn.CONCAT("Motion ",IF($N51&gt;1,"5",""),$O51), "")</f>
        <v>Motion 827</v>
      </c>
      <c r="R51" s="4" t="str">
        <f aca="false">IF(I51&lt;&gt;"", _xlfn.CONCAT("Motion ",IF($N51&gt;1,"4",""),$O51), "")</f>
        <v/>
      </c>
      <c r="S51" s="4" t="str">
        <f aca="false">IF(J51&lt;&gt;"", _xlfn.CONCAT("Motion ",$O51), "")</f>
        <v/>
      </c>
      <c r="T51" s="4" t="str">
        <f aca="false">IF(K51&lt;&gt;"", _xlfn.CONCAT("Motion ",IF($N51&gt;1,"2",""),$O51), "")</f>
        <v/>
      </c>
      <c r="U51" s="4" t="str">
        <f aca="false">IF(L51&lt;&gt;"", _xlfn.CONCAT("Motion ",IF($N51&gt;1,"1",""),$O51), "")</f>
        <v/>
      </c>
    </row>
    <row r="52" customFormat="false" ht="15" hidden="false" customHeight="false" outlineLevel="0" collapsed="false">
      <c r="A52" s="0" t="n">
        <v>64</v>
      </c>
      <c r="B52" s="0" t="s">
        <v>16</v>
      </c>
      <c r="C52" s="0" t="s">
        <v>67</v>
      </c>
      <c r="D52" s="0" t="s">
        <v>110</v>
      </c>
      <c r="F52" s="1" t="s">
        <v>19</v>
      </c>
      <c r="H52" s="2" t="s">
        <v>40</v>
      </c>
      <c r="M52" s="3" t="str">
        <f aca="false">IF(A52-A51&lt;&gt;1,A52-A51,"")</f>
        <v/>
      </c>
      <c r="N52" s="3" t="n">
        <f aca="false">COUNTA(H52:L52)</f>
        <v>1</v>
      </c>
      <c r="O52" s="3" t="n">
        <v>639</v>
      </c>
      <c r="P52" s="3" t="str">
        <f aca="false">UPPER(_xlfn.CONCAT(LEFT(D52,3),O52,LEFT(C52,3)))</f>
        <v>COL639AND</v>
      </c>
      <c r="Q52" s="4" t="str">
        <f aca="false">IF(H52&lt;&gt;"", _xlfn.CONCAT("Motion ",IF($N52&gt;1,"5",""),$O52), "")</f>
        <v>Motion 639</v>
      </c>
      <c r="R52" s="4" t="str">
        <f aca="false">IF(I52&lt;&gt;"", _xlfn.CONCAT("Motion ",IF($N52&gt;1,"4",""),$O52), "")</f>
        <v/>
      </c>
      <c r="S52" s="4" t="str">
        <f aca="false">IF(J52&lt;&gt;"", _xlfn.CONCAT("Motion ",$O52), "")</f>
        <v/>
      </c>
      <c r="T52" s="4" t="str">
        <f aca="false">IF(K52&lt;&gt;"", _xlfn.CONCAT("Motion ",IF($N52&gt;1,"2",""),$O52), "")</f>
        <v/>
      </c>
      <c r="U52" s="4" t="str">
        <f aca="false">IF(L52&lt;&gt;"", _xlfn.CONCAT("Motion ",IF($N52&gt;1,"1",""),$O52), "")</f>
        <v/>
      </c>
    </row>
    <row r="53" customFormat="false" ht="15" hidden="false" customHeight="false" outlineLevel="0" collapsed="false">
      <c r="A53" s="0" t="n">
        <v>65</v>
      </c>
      <c r="B53" s="0" t="s">
        <v>30</v>
      </c>
      <c r="C53" s="0" t="s">
        <v>111</v>
      </c>
      <c r="D53" s="0" t="s">
        <v>110</v>
      </c>
      <c r="F53" s="1" t="s">
        <v>19</v>
      </c>
      <c r="H53" s="2" t="s">
        <v>40</v>
      </c>
      <c r="M53" s="3" t="str">
        <f aca="false">IF(A53-A52&lt;&gt;1,A53-A52,"")</f>
        <v/>
      </c>
      <c r="N53" s="3" t="n">
        <f aca="false">COUNTA(H53:L53)</f>
        <v>1</v>
      </c>
      <c r="O53" s="3" t="n">
        <v>611</v>
      </c>
      <c r="P53" s="3" t="str">
        <f aca="false">UPPER(_xlfn.CONCAT(LEFT(D53,3),O53,LEFT(C53,3)))</f>
        <v>COL611ANN</v>
      </c>
      <c r="Q53" s="4" t="str">
        <f aca="false">IF(H53&lt;&gt;"", _xlfn.CONCAT("Motion ",IF($N53&gt;1,"5",""),$O53), "")</f>
        <v>Motion 611</v>
      </c>
      <c r="R53" s="4" t="str">
        <f aca="false">IF(I53&lt;&gt;"", _xlfn.CONCAT("Motion ",IF($N53&gt;1,"4",""),$O53), "")</f>
        <v/>
      </c>
      <c r="S53" s="4" t="str">
        <f aca="false">IF(J53&lt;&gt;"", _xlfn.CONCAT("Motion ",$O53), "")</f>
        <v/>
      </c>
      <c r="T53" s="4" t="str">
        <f aca="false">IF(K53&lt;&gt;"", _xlfn.CONCAT("Motion ",IF($N53&gt;1,"2",""),$O53), "")</f>
        <v/>
      </c>
      <c r="U53" s="4" t="str">
        <f aca="false">IF(L53&lt;&gt;"", _xlfn.CONCAT("Motion ",IF($N53&gt;1,"1",""),$O53), "")</f>
        <v/>
      </c>
    </row>
    <row r="54" customFormat="false" ht="15" hidden="false" customHeight="false" outlineLevel="0" collapsed="false">
      <c r="A54" s="0" t="n">
        <v>66</v>
      </c>
      <c r="B54" s="0" t="s">
        <v>16</v>
      </c>
      <c r="C54" s="0" t="s">
        <v>112</v>
      </c>
      <c r="D54" s="0" t="s">
        <v>109</v>
      </c>
      <c r="E54" s="1" t="s">
        <v>19</v>
      </c>
      <c r="F54" s="1" t="s">
        <v>19</v>
      </c>
      <c r="H54" s="2" t="s">
        <v>40</v>
      </c>
      <c r="M54" s="3" t="str">
        <f aca="false">IF(A54-A53&lt;&gt;1,A54-A53,"")</f>
        <v/>
      </c>
      <c r="N54" s="3" t="n">
        <f aca="false">COUNTA(H54:L54)</f>
        <v>1</v>
      </c>
      <c r="O54" s="3" t="n">
        <v>826</v>
      </c>
      <c r="P54" s="3" t="str">
        <f aca="false">UPPER(_xlfn.CONCAT(LEFT(D54,3),O54,LEFT(C54,3)))</f>
        <v>BER826ARL</v>
      </c>
      <c r="Q54" s="4" t="str">
        <f aca="false">IF(H54&lt;&gt;"", _xlfn.CONCAT("Motion ",IF($N54&gt;1,"5",""),$O54), "")</f>
        <v>Motion 826</v>
      </c>
      <c r="R54" s="4" t="str">
        <f aca="false">IF(I54&lt;&gt;"", _xlfn.CONCAT("Motion ",IF($N54&gt;1,"4",""),$O54), "")</f>
        <v/>
      </c>
      <c r="S54" s="4" t="str">
        <f aca="false">IF(J54&lt;&gt;"", _xlfn.CONCAT("Motion ",$O54), "")</f>
        <v/>
      </c>
      <c r="T54" s="4" t="str">
        <f aca="false">IF(K54&lt;&gt;"", _xlfn.CONCAT("Motion ",IF($N54&gt;1,"2",""),$O54), "")</f>
        <v/>
      </c>
      <c r="U54" s="4" t="str">
        <f aca="false">IF(L54&lt;&gt;"", _xlfn.CONCAT("Motion ",IF($N54&gt;1,"1",""),$O54), "")</f>
        <v/>
      </c>
    </row>
    <row r="55" customFormat="false" ht="15" hidden="false" customHeight="false" outlineLevel="0" collapsed="false">
      <c r="A55" s="0" t="n">
        <v>67</v>
      </c>
      <c r="B55" s="0" t="s">
        <v>16</v>
      </c>
      <c r="C55" s="0" t="s">
        <v>113</v>
      </c>
      <c r="D55" s="0" t="s">
        <v>114</v>
      </c>
      <c r="F55" s="1" t="s">
        <v>19</v>
      </c>
      <c r="I55" s="2" t="s">
        <v>20</v>
      </c>
      <c r="J55" s="2" t="s">
        <v>21</v>
      </c>
      <c r="M55" s="3" t="str">
        <f aca="false">IF(A55-A54&lt;&gt;1,A55-A54,"")</f>
        <v/>
      </c>
      <c r="N55" s="3" t="n">
        <f aca="false">COUNTA(H55:L55)</f>
        <v>2</v>
      </c>
      <c r="O55" s="3" t="n">
        <v>821</v>
      </c>
      <c r="P55" s="3" t="str">
        <f aca="false">UPPER(_xlfn.CONCAT(LEFT(D55,3),O55,LEFT(C55,3)))</f>
        <v>CON821GAR</v>
      </c>
      <c r="Q55" s="4" t="str">
        <f aca="false">IF(H55&lt;&gt;"", _xlfn.CONCAT("Motion ",IF($N55&gt;1,"5",""),$O55), "")</f>
        <v/>
      </c>
      <c r="R55" s="4" t="str">
        <f aca="false">IF(I55&lt;&gt;"", _xlfn.CONCAT("Motion ",IF($N55&gt;1,"4",""),$O55), "")</f>
        <v>Motion 4821</v>
      </c>
      <c r="S55" s="4" t="str">
        <f aca="false">IF(J55&lt;&gt;"", _xlfn.CONCAT("Motion ",$O55), "")</f>
        <v>Motion 821</v>
      </c>
      <c r="T55" s="4" t="str">
        <f aca="false">IF(K55&lt;&gt;"", _xlfn.CONCAT("Motion ",IF($N55&gt;1,"2",""),$O55), "")</f>
        <v/>
      </c>
      <c r="U55" s="4" t="str">
        <f aca="false">IF(L55&lt;&gt;"", _xlfn.CONCAT("Motion ",IF($N55&gt;1,"1",""),$O55), "")</f>
        <v/>
      </c>
    </row>
    <row r="56" customFormat="false" ht="15" hidden="false" customHeight="false" outlineLevel="0" collapsed="false">
      <c r="A56" s="0" t="n">
        <v>68</v>
      </c>
      <c r="B56" s="0" t="s">
        <v>16</v>
      </c>
      <c r="C56" s="0" t="s">
        <v>102</v>
      </c>
      <c r="D56" s="0" t="s">
        <v>115</v>
      </c>
      <c r="F56" s="1" t="s">
        <v>19</v>
      </c>
      <c r="I56" s="2" t="s">
        <v>20</v>
      </c>
      <c r="J56" s="2" t="s">
        <v>21</v>
      </c>
      <c r="M56" s="3" t="str">
        <f aca="false">IF(A56-A55&lt;&gt;1,A56-A55,"")</f>
        <v/>
      </c>
      <c r="N56" s="3" t="n">
        <f aca="false">COUNTA(H56:L56)</f>
        <v>2</v>
      </c>
      <c r="O56" s="3" t="n">
        <v>812</v>
      </c>
      <c r="P56" s="3" t="str">
        <f aca="false">UPPER(_xlfn.CONCAT(LEFT(D56,3),O56,LEFT(C56,3)))</f>
        <v>DIN812JAM</v>
      </c>
      <c r="Q56" s="4" t="str">
        <f aca="false">IF(H56&lt;&gt;"", _xlfn.CONCAT("Motion ",IF($N56&gt;1,"5",""),$O56), "")</f>
        <v/>
      </c>
      <c r="R56" s="4" t="str">
        <f aca="false">IF(I56&lt;&gt;"", _xlfn.CONCAT("Motion ",IF($N56&gt;1,"4",""),$O56), "")</f>
        <v>Motion 4812</v>
      </c>
      <c r="S56" s="4" t="str">
        <f aca="false">IF(J56&lt;&gt;"", _xlfn.CONCAT("Motion ",$O56), "")</f>
        <v>Motion 812</v>
      </c>
      <c r="T56" s="4" t="str">
        <f aca="false">IF(K56&lt;&gt;"", _xlfn.CONCAT("Motion ",IF($N56&gt;1,"2",""),$O56), "")</f>
        <v/>
      </c>
      <c r="U56" s="4" t="str">
        <f aca="false">IF(L56&lt;&gt;"", _xlfn.CONCAT("Motion ",IF($N56&gt;1,"1",""),$O56), "")</f>
        <v/>
      </c>
    </row>
    <row r="57" customFormat="false" ht="15" hidden="false" customHeight="false" outlineLevel="0" collapsed="false">
      <c r="A57" s="0" t="n">
        <v>69</v>
      </c>
      <c r="B57" s="0" t="s">
        <v>16</v>
      </c>
      <c r="C57" s="0" t="s">
        <v>116</v>
      </c>
      <c r="D57" s="0" t="s">
        <v>117</v>
      </c>
      <c r="F57" s="1" t="s">
        <v>19</v>
      </c>
      <c r="J57" s="2" t="s">
        <v>21</v>
      </c>
      <c r="M57" s="3" t="str">
        <f aca="false">IF(A57-A56&lt;&gt;1,A57-A56,"")</f>
        <v/>
      </c>
      <c r="N57" s="3" t="n">
        <f aca="false">COUNTA(H57:L57)</f>
        <v>1</v>
      </c>
      <c r="O57" s="3" t="n">
        <v>829</v>
      </c>
      <c r="P57" s="3" t="str">
        <f aca="false">UPPER(_xlfn.CONCAT(LEFT(D57,3),O57,LEFT(C57,3)))</f>
        <v>TRO829WIL</v>
      </c>
      <c r="Q57" s="4" t="str">
        <f aca="false">IF(H57&lt;&gt;"", _xlfn.CONCAT("Motion ",IF($N57&gt;1,"5",""),$O57), "")</f>
        <v/>
      </c>
      <c r="R57" s="4" t="str">
        <f aca="false">IF(I57&lt;&gt;"", _xlfn.CONCAT("Motion ",IF($N57&gt;1,"4",""),$O57), "")</f>
        <v/>
      </c>
      <c r="S57" s="4" t="str">
        <f aca="false">IF(J57&lt;&gt;"", _xlfn.CONCAT("Motion ",$O57), "")</f>
        <v>Motion 829</v>
      </c>
      <c r="T57" s="4" t="str">
        <f aca="false">IF(K57&lt;&gt;"", _xlfn.CONCAT("Motion ",IF($N57&gt;1,"2",""),$O57), "")</f>
        <v/>
      </c>
      <c r="U57" s="4" t="str">
        <f aca="false">IF(L57&lt;&gt;"", _xlfn.CONCAT("Motion ",IF($N57&gt;1,"1",""),$O57), "")</f>
        <v/>
      </c>
    </row>
    <row r="58" customFormat="false" ht="15" hidden="false" customHeight="false" outlineLevel="0" collapsed="false">
      <c r="A58" s="0" t="n">
        <v>70</v>
      </c>
      <c r="B58" s="0" t="s">
        <v>16</v>
      </c>
      <c r="C58" s="0" t="s">
        <v>118</v>
      </c>
      <c r="D58" s="0" t="s">
        <v>119</v>
      </c>
      <c r="F58" s="1" t="s">
        <v>35</v>
      </c>
      <c r="H58" s="2" t="s">
        <v>40</v>
      </c>
      <c r="K58" s="2" t="s">
        <v>29</v>
      </c>
      <c r="M58" s="3" t="str">
        <f aca="false">IF(A58-A57&lt;&gt;1,A58-A57,"")</f>
        <v/>
      </c>
      <c r="N58" s="3" t="n">
        <f aca="false">COUNTA(H58:L58)</f>
        <v>2</v>
      </c>
      <c r="O58" s="3" t="n">
        <v>669</v>
      </c>
      <c r="P58" s="3" t="str">
        <f aca="false">UPPER(_xlfn.CONCAT(LEFT(D58,3),O58,LEFT(C58,3)))</f>
        <v>WIL669DAV</v>
      </c>
      <c r="Q58" s="4" t="str">
        <f aca="false">IF(H58&lt;&gt;"", _xlfn.CONCAT("Motion ",IF($N58&gt;1,"5",""),$O58), "")</f>
        <v>Motion 5669</v>
      </c>
      <c r="R58" s="4" t="str">
        <f aca="false">IF(I58&lt;&gt;"", _xlfn.CONCAT("Motion ",IF($N58&gt;1,"4",""),$O58), "")</f>
        <v/>
      </c>
      <c r="S58" s="4" t="str">
        <f aca="false">IF(J58&lt;&gt;"", _xlfn.CONCAT("Motion ",$O58), "")</f>
        <v/>
      </c>
      <c r="T58" s="4" t="str">
        <f aca="false">IF(K58&lt;&gt;"", _xlfn.CONCAT("Motion ",IF($N58&gt;1,"2",""),$O58), "")</f>
        <v>Motion 2669</v>
      </c>
      <c r="U58" s="4" t="str">
        <f aca="false">IF(L58&lt;&gt;"", _xlfn.CONCAT("Motion ",IF($N58&gt;1,"1",""),$O58), "")</f>
        <v/>
      </c>
    </row>
    <row r="59" customFormat="false" ht="15" hidden="false" customHeight="false" outlineLevel="0" collapsed="false">
      <c r="A59" s="0" t="n">
        <v>71</v>
      </c>
      <c r="B59" s="0" t="s">
        <v>16</v>
      </c>
      <c r="C59" s="0" t="s">
        <v>48</v>
      </c>
      <c r="D59" s="0" t="s">
        <v>120</v>
      </c>
      <c r="F59" s="1" t="s">
        <v>19</v>
      </c>
      <c r="G59" s="1" t="n">
        <v>920</v>
      </c>
      <c r="J59" s="2" t="s">
        <v>21</v>
      </c>
      <c r="M59" s="3" t="str">
        <f aca="false">IF(A59-A58&lt;&gt;1,A59-A58,"")</f>
        <v/>
      </c>
      <c r="N59" s="3" t="n">
        <f aca="false">COUNTA(H59:L59)</f>
        <v>1</v>
      </c>
      <c r="O59" s="11" t="n">
        <f aca="false">G59</f>
        <v>920</v>
      </c>
      <c r="P59" s="3" t="str">
        <f aca="false">UPPER(_xlfn.CONCAT(LEFT(D59,3),O59,LEFT(C59,3)))</f>
        <v>PAL920MAR</v>
      </c>
      <c r="Q59" s="4" t="str">
        <f aca="false">IF(H59&lt;&gt;"", _xlfn.CONCAT("Motion ",IF($N59&gt;1,"5",""),$O59), "")</f>
        <v/>
      </c>
      <c r="R59" s="4" t="str">
        <f aca="false">IF(I59&lt;&gt;"", _xlfn.CONCAT("Motion ",IF($N59&gt;1,"4",""),$O59), "")</f>
        <v/>
      </c>
      <c r="S59" s="4" t="str">
        <f aca="false">IF(J59&lt;&gt;"", _xlfn.CONCAT("Motion ",$O59), "")</f>
        <v>Motion 920</v>
      </c>
      <c r="T59" s="4" t="str">
        <f aca="false">IF(K59&lt;&gt;"", _xlfn.CONCAT("Motion ",IF($N59&gt;1,"2",""),$O59), "")</f>
        <v/>
      </c>
      <c r="U59" s="4" t="str">
        <f aca="false">IF(L59&lt;&gt;"", _xlfn.CONCAT("Motion ",IF($N59&gt;1,"1",""),$O59), "")</f>
        <v/>
      </c>
    </row>
    <row r="60" customFormat="false" ht="15" hidden="false" customHeight="false" outlineLevel="0" collapsed="false">
      <c r="A60" s="0" t="n">
        <v>72</v>
      </c>
      <c r="B60" s="0" t="s">
        <v>16</v>
      </c>
      <c r="C60" s="0" t="s">
        <v>22</v>
      </c>
      <c r="D60" s="0" t="s">
        <v>121</v>
      </c>
      <c r="F60" s="1" t="s">
        <v>35</v>
      </c>
      <c r="H60" s="2" t="s">
        <v>40</v>
      </c>
      <c r="M60" s="3" t="str">
        <f aca="false">IF(A60-A59&lt;&gt;1,A60-A59,"")</f>
        <v/>
      </c>
      <c r="N60" s="3" t="n">
        <f aca="false">COUNTA(H60:L60)</f>
        <v>1</v>
      </c>
      <c r="O60" s="3" t="n">
        <v>631</v>
      </c>
      <c r="P60" s="3" t="str">
        <f aca="false">UPPER(_xlfn.CONCAT(LEFT(D60,3),O60,LEFT(C60,3)))</f>
        <v>SAN631SIM</v>
      </c>
      <c r="Q60" s="4" t="str">
        <f aca="false">IF(H60&lt;&gt;"", _xlfn.CONCAT("Motion ",IF($N60&gt;1,"5",""),$O60), "")</f>
        <v>Motion 631</v>
      </c>
      <c r="R60" s="4" t="str">
        <f aca="false">IF(I60&lt;&gt;"", _xlfn.CONCAT("Motion ",IF($N60&gt;1,"4",""),$O60), "")</f>
        <v/>
      </c>
      <c r="S60" s="4" t="str">
        <f aca="false">IF(J60&lt;&gt;"", _xlfn.CONCAT("Motion ",$O60), "")</f>
        <v/>
      </c>
      <c r="T60" s="4" t="str">
        <f aca="false">IF(K60&lt;&gt;"", _xlfn.CONCAT("Motion ",IF($N60&gt;1,"2",""),$O60), "")</f>
        <v/>
      </c>
      <c r="U60" s="4" t="str">
        <f aca="false">IF(L60&lt;&gt;"", _xlfn.CONCAT("Motion ",IF($N60&gt;1,"1",""),$O60), "")</f>
        <v/>
      </c>
    </row>
    <row r="61" customFormat="false" ht="15" hidden="false" customHeight="false" outlineLevel="0" collapsed="false">
      <c r="A61" s="0" t="n">
        <v>73</v>
      </c>
      <c r="B61" s="0" t="s">
        <v>16</v>
      </c>
      <c r="C61" s="0" t="s">
        <v>48</v>
      </c>
      <c r="D61" s="0" t="s">
        <v>122</v>
      </c>
      <c r="F61" s="1" t="s">
        <v>35</v>
      </c>
      <c r="I61" s="2" t="s">
        <v>20</v>
      </c>
      <c r="J61" s="2" t="s">
        <v>21</v>
      </c>
      <c r="M61" s="3" t="str">
        <f aca="false">IF(A61-A60&lt;&gt;1,A61-A60,"")</f>
        <v/>
      </c>
      <c r="N61" s="3" t="n">
        <f aca="false">COUNTA(H61:L61)</f>
        <v>2</v>
      </c>
      <c r="O61" s="3" t="n">
        <v>810</v>
      </c>
      <c r="P61" s="3" t="str">
        <f aca="false">UPPER(_xlfn.CONCAT(LEFT(D61,3),O61,LEFT(C61,3)))</f>
        <v>NEW810MAR</v>
      </c>
      <c r="Q61" s="4" t="str">
        <f aca="false">IF(H61&lt;&gt;"", _xlfn.CONCAT("Motion ",IF($N61&gt;1,"5",""),$O61), "")</f>
        <v/>
      </c>
      <c r="R61" s="4" t="str">
        <f aca="false">IF(I61&lt;&gt;"", _xlfn.CONCAT("Motion ",IF($N61&gt;1,"4",""),$O61), "")</f>
        <v>Motion 4810</v>
      </c>
      <c r="S61" s="4" t="str">
        <f aca="false">IF(J61&lt;&gt;"", _xlfn.CONCAT("Motion ",$O61), "")</f>
        <v>Motion 810</v>
      </c>
      <c r="T61" s="4" t="str">
        <f aca="false">IF(K61&lt;&gt;"", _xlfn.CONCAT("Motion ",IF($N61&gt;1,"2",""),$O61), "")</f>
        <v/>
      </c>
      <c r="U61" s="4" t="str">
        <f aca="false">IF(L61&lt;&gt;"", _xlfn.CONCAT("Motion ",IF($N61&gt;1,"1",""),$O61), "")</f>
        <v/>
      </c>
    </row>
    <row r="62" customFormat="false" ht="15" hidden="false" customHeight="false" outlineLevel="0" collapsed="false">
      <c r="A62" s="0" t="n">
        <v>75</v>
      </c>
      <c r="B62" s="0" t="s">
        <v>16</v>
      </c>
      <c r="C62" s="0" t="s">
        <v>123</v>
      </c>
      <c r="D62" s="0" t="s">
        <v>124</v>
      </c>
      <c r="F62" s="1" t="s">
        <v>19</v>
      </c>
      <c r="J62" s="2" t="s">
        <v>21</v>
      </c>
      <c r="M62" s="12" t="n">
        <f aca="false">IF(A62-A61&lt;&gt;1,A62-A61,"")</f>
        <v>2</v>
      </c>
      <c r="N62" s="3" t="n">
        <f aca="false">COUNTA(H62:L62)</f>
        <v>1</v>
      </c>
      <c r="O62" s="3" t="n">
        <v>817</v>
      </c>
      <c r="P62" s="3" t="str">
        <f aca="false">UPPER(_xlfn.CONCAT(LEFT(D62,3),O62,LEFT(C62,3)))</f>
        <v>MAR817EDD</v>
      </c>
      <c r="Q62" s="4" t="str">
        <f aca="false">IF(H62&lt;&gt;"", _xlfn.CONCAT("Motion ",IF($N62&gt;1,"5",""),$O62), "")</f>
        <v/>
      </c>
      <c r="R62" s="4" t="str">
        <f aca="false">IF(I62&lt;&gt;"", _xlfn.CONCAT("Motion ",IF($N62&gt;1,"4",""),$O62), "")</f>
        <v/>
      </c>
      <c r="S62" s="4" t="str">
        <f aca="false">IF(J62&lt;&gt;"", _xlfn.CONCAT("Motion ",$O62), "")</f>
        <v>Motion 817</v>
      </c>
      <c r="T62" s="4" t="str">
        <f aca="false">IF(K62&lt;&gt;"", _xlfn.CONCAT("Motion ",IF($N62&gt;1,"2",""),$O62), "")</f>
        <v/>
      </c>
      <c r="U62" s="4" t="str">
        <f aca="false">IF(L62&lt;&gt;"", _xlfn.CONCAT("Motion ",IF($N62&gt;1,"1",""),$O62), "")</f>
        <v/>
      </c>
    </row>
    <row r="63" customFormat="false" ht="15" hidden="false" customHeight="false" outlineLevel="0" collapsed="false">
      <c r="A63" s="0" t="n">
        <v>76</v>
      </c>
      <c r="B63" s="0" t="s">
        <v>16</v>
      </c>
      <c r="C63" s="0" t="s">
        <v>125</v>
      </c>
      <c r="D63" s="0" t="s">
        <v>126</v>
      </c>
      <c r="F63" s="1" t="s">
        <v>19</v>
      </c>
      <c r="J63" s="2" t="s">
        <v>21</v>
      </c>
      <c r="M63" s="3" t="str">
        <f aca="false">IF(A63-A62&lt;&gt;1,A63-A62,"")</f>
        <v/>
      </c>
      <c r="N63" s="3" t="n">
        <f aca="false">COUNTA(H63:L63)</f>
        <v>1</v>
      </c>
      <c r="O63" s="3" t="n">
        <v>803</v>
      </c>
      <c r="P63" s="3" t="str">
        <f aca="false">UPPER(_xlfn.CONCAT(LEFT(D63,3),O63,LEFT(C63,3)))</f>
        <v>STU803AND</v>
      </c>
      <c r="Q63" s="4" t="str">
        <f aca="false">IF(H63&lt;&gt;"", _xlfn.CONCAT("Motion ",IF($N63&gt;1,"5",""),$O63), "")</f>
        <v/>
      </c>
      <c r="R63" s="4" t="str">
        <f aca="false">IF(I63&lt;&gt;"", _xlfn.CONCAT("Motion ",IF($N63&gt;1,"4",""),$O63), "")</f>
        <v/>
      </c>
      <c r="S63" s="4" t="str">
        <f aca="false">IF(J63&lt;&gt;"", _xlfn.CONCAT("Motion ",$O63), "")</f>
        <v>Motion 803</v>
      </c>
      <c r="T63" s="4" t="str">
        <f aca="false">IF(K63&lt;&gt;"", _xlfn.CONCAT("Motion ",IF($N63&gt;1,"2",""),$O63), "")</f>
        <v/>
      </c>
      <c r="U63" s="4" t="str">
        <f aca="false">IF(L63&lt;&gt;"", _xlfn.CONCAT("Motion ",IF($N63&gt;1,"1",""),$O63), "")</f>
        <v/>
      </c>
    </row>
    <row r="64" customFormat="false" ht="15" hidden="false" customHeight="false" outlineLevel="0" collapsed="false">
      <c r="A64" s="0" t="n">
        <v>77</v>
      </c>
      <c r="B64" s="0" t="s">
        <v>16</v>
      </c>
      <c r="C64" s="0" t="s">
        <v>102</v>
      </c>
      <c r="D64" s="0" t="s">
        <v>127</v>
      </c>
      <c r="K64" s="2" t="s">
        <v>29</v>
      </c>
      <c r="M64" s="3" t="str">
        <f aca="false">IF(A64-A63&lt;&gt;1,A64-A63,"")</f>
        <v/>
      </c>
      <c r="N64" s="3" t="n">
        <f aca="false">COUNTA(H64:L64)</f>
        <v>1</v>
      </c>
      <c r="O64" s="3" t="n">
        <v>699</v>
      </c>
      <c r="P64" s="3" t="str">
        <f aca="false">UPPER(_xlfn.CONCAT(LEFT(D64,3),O64,LEFT(C64,3)))</f>
        <v>LON699JAM</v>
      </c>
      <c r="Q64" s="4" t="str">
        <f aca="false">IF(H64&lt;&gt;"", _xlfn.CONCAT("Motion ",IF($N64&gt;1,"5",""),$O64), "")</f>
        <v/>
      </c>
      <c r="R64" s="4" t="str">
        <f aca="false">IF(I64&lt;&gt;"", _xlfn.CONCAT("Motion ",IF($N64&gt;1,"4",""),$O64), "")</f>
        <v/>
      </c>
      <c r="S64" s="4" t="str">
        <f aca="false">IF(J64&lt;&gt;"", _xlfn.CONCAT("Motion ",$O64), "")</f>
        <v/>
      </c>
      <c r="T64" s="4" t="str">
        <f aca="false">IF(K64&lt;&gt;"", _xlfn.CONCAT("Motion ",IF($N64&gt;1,"2",""),$O64), "")</f>
        <v>Motion 699</v>
      </c>
      <c r="U64" s="4" t="str">
        <f aca="false">IF(L64&lt;&gt;"", _xlfn.CONCAT("Motion ",IF($N64&gt;1,"1",""),$O64), "")</f>
        <v/>
      </c>
    </row>
    <row r="65" customFormat="false" ht="15" hidden="false" customHeight="false" outlineLevel="0" collapsed="false">
      <c r="A65" s="0" t="n">
        <v>78</v>
      </c>
      <c r="B65" s="0" t="s">
        <v>16</v>
      </c>
      <c r="C65" s="0" t="s">
        <v>100</v>
      </c>
      <c r="D65" s="0" t="s">
        <v>87</v>
      </c>
      <c r="F65" s="1" t="s">
        <v>19</v>
      </c>
      <c r="J65" s="2" t="s">
        <v>21</v>
      </c>
      <c r="M65" s="3" t="str">
        <f aca="false">IF(A65-A64&lt;&gt;1,A65-A64,"")</f>
        <v/>
      </c>
      <c r="N65" s="3" t="n">
        <f aca="false">COUNTA(H65:L65)</f>
        <v>1</v>
      </c>
      <c r="O65" s="3" t="n">
        <v>656</v>
      </c>
      <c r="P65" s="3" t="str">
        <f aca="false">UPPER(_xlfn.CONCAT(LEFT(D65,3),O65,LEFT(C65,3)))</f>
        <v>THO656RUS</v>
      </c>
      <c r="Q65" s="4" t="str">
        <f aca="false">IF(H65&lt;&gt;"", _xlfn.CONCAT("Motion ",IF($N65&gt;1,"5",""),$O65), "")</f>
        <v/>
      </c>
      <c r="R65" s="4" t="str">
        <f aca="false">IF(I65&lt;&gt;"", _xlfn.CONCAT("Motion ",IF($N65&gt;1,"4",""),$O65), "")</f>
        <v/>
      </c>
      <c r="S65" s="4" t="str">
        <f aca="false">IF(J65&lt;&gt;"", _xlfn.CONCAT("Motion ",$O65), "")</f>
        <v>Motion 656</v>
      </c>
      <c r="T65" s="4" t="str">
        <f aca="false">IF(K65&lt;&gt;"", _xlfn.CONCAT("Motion ",IF($N65&gt;1,"2",""),$O65), "")</f>
        <v/>
      </c>
      <c r="U65" s="4" t="str">
        <f aca="false">IF(L65&lt;&gt;"", _xlfn.CONCAT("Motion ",IF($N65&gt;1,"1",""),$O65), "")</f>
        <v/>
      </c>
    </row>
    <row r="66" customFormat="false" ht="15" hidden="false" customHeight="false" outlineLevel="0" collapsed="false">
      <c r="A66" s="0" t="n">
        <v>79</v>
      </c>
      <c r="B66" s="0" t="s">
        <v>16</v>
      </c>
      <c r="C66" s="0" t="s">
        <v>128</v>
      </c>
      <c r="D66" s="0" t="s">
        <v>129</v>
      </c>
      <c r="F66" s="1" t="s">
        <v>19</v>
      </c>
      <c r="J66" s="2" t="s">
        <v>21</v>
      </c>
      <c r="M66" s="3" t="str">
        <f aca="false">IF(A66-A65&lt;&gt;1,A66-A65,"")</f>
        <v/>
      </c>
      <c r="N66" s="3" t="n">
        <f aca="false">COUNTA(H66:L66)</f>
        <v>1</v>
      </c>
      <c r="O66" s="3" t="n">
        <v>651</v>
      </c>
      <c r="P66" s="3" t="str">
        <f aca="false">UPPER(_xlfn.CONCAT(LEFT(D66,3),O66,LEFT(C66,3)))</f>
        <v>KIR651JON</v>
      </c>
      <c r="Q66" s="4" t="str">
        <f aca="false">IF(H66&lt;&gt;"", _xlfn.CONCAT("Motion ",IF($N66&gt;1,"5",""),$O66), "")</f>
        <v/>
      </c>
      <c r="R66" s="4" t="str">
        <f aca="false">IF(I66&lt;&gt;"", _xlfn.CONCAT("Motion ",IF($N66&gt;1,"4",""),$O66), "")</f>
        <v/>
      </c>
      <c r="S66" s="4" t="str">
        <f aca="false">IF(J66&lt;&gt;"", _xlfn.CONCAT("Motion ",$O66), "")</f>
        <v>Motion 651</v>
      </c>
      <c r="T66" s="4" t="str">
        <f aca="false">IF(K66&lt;&gt;"", _xlfn.CONCAT("Motion ",IF($N66&gt;1,"2",""),$O66), "")</f>
        <v/>
      </c>
      <c r="U66" s="4" t="str">
        <f aca="false">IF(L66&lt;&gt;"", _xlfn.CONCAT("Motion ",IF($N66&gt;1,"1",""),$O66), "")</f>
        <v/>
      </c>
    </row>
    <row r="67" customFormat="false" ht="15" hidden="false" customHeight="false" outlineLevel="0" collapsed="false">
      <c r="A67" s="0" t="n">
        <v>80</v>
      </c>
      <c r="B67" s="0" t="s">
        <v>16</v>
      </c>
      <c r="C67" s="0" t="s">
        <v>130</v>
      </c>
      <c r="D67" s="0" t="s">
        <v>131</v>
      </c>
      <c r="F67" s="1" t="s">
        <v>19</v>
      </c>
      <c r="J67" s="2" t="s">
        <v>21</v>
      </c>
      <c r="M67" s="3" t="str">
        <f aca="false">IF(A67-A66&lt;&gt;1,A67-A66,"")</f>
        <v/>
      </c>
      <c r="N67" s="3" t="n">
        <f aca="false">COUNTA(H67:L67)</f>
        <v>1</v>
      </c>
      <c r="O67" s="3" t="n">
        <v>836</v>
      </c>
      <c r="P67" s="3" t="str">
        <f aca="false">UPPER(_xlfn.CONCAT(LEFT(D67,3),O67,LEFT(C67,3)))</f>
        <v>CRO836JIM</v>
      </c>
      <c r="Q67" s="4" t="str">
        <f aca="false">IF(H67&lt;&gt;"", _xlfn.CONCAT("Motion ",IF($N67&gt;1,"5",""),$O67), "")</f>
        <v/>
      </c>
      <c r="R67" s="4" t="str">
        <f aca="false">IF(I67&lt;&gt;"", _xlfn.CONCAT("Motion ",IF($N67&gt;1,"4",""),$O67), "")</f>
        <v/>
      </c>
      <c r="S67" s="4" t="str">
        <f aca="false">IF(J67&lt;&gt;"", _xlfn.CONCAT("Motion ",$O67), "")</f>
        <v>Motion 836</v>
      </c>
      <c r="T67" s="4" t="str">
        <f aca="false">IF(K67&lt;&gt;"", _xlfn.CONCAT("Motion ",IF($N67&gt;1,"2",""),$O67), "")</f>
        <v/>
      </c>
      <c r="U67" s="4" t="str">
        <f aca="false">IF(L67&lt;&gt;"", _xlfn.CONCAT("Motion ",IF($N67&gt;1,"1",""),$O67), "")</f>
        <v/>
      </c>
    </row>
    <row r="68" customFormat="false" ht="15" hidden="false" customHeight="false" outlineLevel="0" collapsed="false">
      <c r="A68" s="0" t="n">
        <v>81</v>
      </c>
      <c r="B68" s="0" t="s">
        <v>16</v>
      </c>
      <c r="C68" s="0" t="s">
        <v>18</v>
      </c>
      <c r="D68" s="0" t="s">
        <v>131</v>
      </c>
      <c r="E68" s="1" t="s">
        <v>19</v>
      </c>
      <c r="F68" s="1" t="s">
        <v>19</v>
      </c>
      <c r="J68" s="2" t="s">
        <v>21</v>
      </c>
      <c r="M68" s="3" t="str">
        <f aca="false">IF(A68-A67&lt;&gt;1,A68-A67,"")</f>
        <v/>
      </c>
      <c r="N68" s="3" t="n">
        <f aca="false">COUNTA(H68:L68)</f>
        <v>1</v>
      </c>
      <c r="O68" s="3" t="n">
        <v>818</v>
      </c>
      <c r="P68" s="3" t="str">
        <f aca="false">UPPER(_xlfn.CONCAT(LEFT(D68,3),O68,LEFT(C68,3)))</f>
        <v>CRO818GEO</v>
      </c>
      <c r="Q68" s="4" t="str">
        <f aca="false">IF(H68&lt;&gt;"", _xlfn.CONCAT("Motion ",IF($N68&gt;1,"5",""),$O68), "")</f>
        <v/>
      </c>
      <c r="R68" s="4" t="str">
        <f aca="false">IF(I68&lt;&gt;"", _xlfn.CONCAT("Motion ",IF($N68&gt;1,"4",""),$O68), "")</f>
        <v/>
      </c>
      <c r="S68" s="4" t="str">
        <f aca="false">IF(J68&lt;&gt;"", _xlfn.CONCAT("Motion ",$O68), "")</f>
        <v>Motion 818</v>
      </c>
      <c r="T68" s="4" t="str">
        <f aca="false">IF(K68&lt;&gt;"", _xlfn.CONCAT("Motion ",IF($N68&gt;1,"2",""),$O68), "")</f>
        <v/>
      </c>
      <c r="U68" s="4" t="str">
        <f aca="false">IF(L68&lt;&gt;"", _xlfn.CONCAT("Motion ",IF($N68&gt;1,"1",""),$O68), "")</f>
        <v/>
      </c>
    </row>
    <row r="69" customFormat="false" ht="15" hidden="false" customHeight="false" outlineLevel="0" collapsed="false">
      <c r="A69" s="0" t="n">
        <v>82</v>
      </c>
      <c r="B69" s="0" t="s">
        <v>16</v>
      </c>
      <c r="C69" s="0" t="s">
        <v>132</v>
      </c>
      <c r="D69" s="0" t="s">
        <v>131</v>
      </c>
      <c r="E69" s="1" t="s">
        <v>19</v>
      </c>
      <c r="F69" s="1" t="s">
        <v>19</v>
      </c>
      <c r="J69" s="2" t="s">
        <v>21</v>
      </c>
      <c r="M69" s="3" t="str">
        <f aca="false">IF(A69-A68&lt;&gt;1,A69-A68,"")</f>
        <v/>
      </c>
      <c r="N69" s="3" t="n">
        <f aca="false">COUNTA(H69:L69)</f>
        <v>1</v>
      </c>
      <c r="O69" s="3" t="n">
        <v>816</v>
      </c>
      <c r="P69" s="3" t="str">
        <f aca="false">UPPER(_xlfn.CONCAT(LEFT(D69,3),O69,LEFT(C69,3)))</f>
        <v>CRO816JAC</v>
      </c>
      <c r="Q69" s="4" t="str">
        <f aca="false">IF(H69&lt;&gt;"", _xlfn.CONCAT("Motion ",IF($N69&gt;1,"5",""),$O69), "")</f>
        <v/>
      </c>
      <c r="R69" s="4" t="str">
        <f aca="false">IF(I69&lt;&gt;"", _xlfn.CONCAT("Motion ",IF($N69&gt;1,"4",""),$O69), "")</f>
        <v/>
      </c>
      <c r="S69" s="4" t="str">
        <f aca="false">IF(J69&lt;&gt;"", _xlfn.CONCAT("Motion ",$O69), "")</f>
        <v>Motion 816</v>
      </c>
      <c r="T69" s="4" t="str">
        <f aca="false">IF(K69&lt;&gt;"", _xlfn.CONCAT("Motion ",IF($N69&gt;1,"2",""),$O69), "")</f>
        <v/>
      </c>
      <c r="U69" s="4" t="str">
        <f aca="false">IF(L69&lt;&gt;"", _xlfn.CONCAT("Motion ",IF($N69&gt;1,"1",""),$O69), "")</f>
        <v/>
      </c>
    </row>
    <row r="70" customFormat="false" ht="15" hidden="false" customHeight="false" outlineLevel="0" collapsed="false">
      <c r="A70" s="0" t="n">
        <v>83</v>
      </c>
      <c r="B70" s="0" t="s">
        <v>16</v>
      </c>
      <c r="C70" s="0" t="s">
        <v>60</v>
      </c>
      <c r="D70" s="0" t="s">
        <v>133</v>
      </c>
      <c r="F70" s="1" t="s">
        <v>19</v>
      </c>
      <c r="I70" s="2" t="s">
        <v>20</v>
      </c>
      <c r="J70" s="2" t="s">
        <v>21</v>
      </c>
      <c r="M70" s="3" t="str">
        <f aca="false">IF(A70-A69&lt;&gt;1,A70-A69,"")</f>
        <v/>
      </c>
      <c r="N70" s="3" t="n">
        <f aca="false">COUNTA(H70:L70)</f>
        <v>2</v>
      </c>
      <c r="O70" s="3" t="n">
        <v>942</v>
      </c>
      <c r="P70" s="3" t="str">
        <f aca="false">UPPER(_xlfn.CONCAT(LEFT(D70,3),O70,LEFT(C70,3)))</f>
        <v>NOR942SCO</v>
      </c>
      <c r="Q70" s="4" t="str">
        <f aca="false">IF(H70&lt;&gt;"", _xlfn.CONCAT("Motion ",IF($N70&gt;1,"5",""),$O70), "")</f>
        <v/>
      </c>
      <c r="R70" s="4" t="str">
        <f aca="false">IF(I70&lt;&gt;"", _xlfn.CONCAT("Motion ",IF($N70&gt;1,"4",""),$O70), "")</f>
        <v>Motion 4942</v>
      </c>
      <c r="S70" s="4" t="str">
        <f aca="false">IF(J70&lt;&gt;"", _xlfn.CONCAT("Motion ",$O70), "")</f>
        <v>Motion 942</v>
      </c>
      <c r="T70" s="4" t="str">
        <f aca="false">IF(K70&lt;&gt;"", _xlfn.CONCAT("Motion ",IF($N70&gt;1,"2",""),$O70), "")</f>
        <v/>
      </c>
      <c r="U70" s="4" t="str">
        <f aca="false">IF(L70&lt;&gt;"", _xlfn.CONCAT("Motion ",IF($N70&gt;1,"1",""),$O70), "")</f>
        <v/>
      </c>
    </row>
    <row r="71" customFormat="false" ht="15" hidden="false" customHeight="false" outlineLevel="0" collapsed="false">
      <c r="A71" s="0" t="n">
        <v>84</v>
      </c>
      <c r="B71" s="0" t="s">
        <v>16</v>
      </c>
      <c r="C71" s="0" t="s">
        <v>134</v>
      </c>
      <c r="D71" s="0" t="s">
        <v>135</v>
      </c>
      <c r="K71" s="2" t="s">
        <v>29</v>
      </c>
      <c r="M71" s="3" t="str">
        <f aca="false">IF(A71-A70&lt;&gt;1,A71-A70,"")</f>
        <v/>
      </c>
      <c r="N71" s="3" t="n">
        <f aca="false">COUNTA(H71:L71)</f>
        <v>1</v>
      </c>
      <c r="O71" s="3" t="n">
        <v>701</v>
      </c>
      <c r="P71" s="3" t="str">
        <f aca="false">UPPER(_xlfn.CONCAT(LEFT(D71,3),O71,LEFT(C71,3)))</f>
        <v>CAM701SEB</v>
      </c>
      <c r="Q71" s="4" t="str">
        <f aca="false">IF(H71&lt;&gt;"", _xlfn.CONCAT("Motion ",IF($N71&gt;1,"5",""),$O71), "")</f>
        <v/>
      </c>
      <c r="R71" s="4" t="str">
        <f aca="false">IF(I71&lt;&gt;"", _xlfn.CONCAT("Motion ",IF($N71&gt;1,"4",""),$O71), "")</f>
        <v/>
      </c>
      <c r="S71" s="4" t="str">
        <f aca="false">IF(J71&lt;&gt;"", _xlfn.CONCAT("Motion ",$O71), "")</f>
        <v/>
      </c>
      <c r="T71" s="4" t="str">
        <f aca="false">IF(K71&lt;&gt;"", _xlfn.CONCAT("Motion ",IF($N71&gt;1,"2",""),$O71), "")</f>
        <v>Motion 701</v>
      </c>
      <c r="U71" s="4" t="str">
        <f aca="false">IF(L71&lt;&gt;"", _xlfn.CONCAT("Motion ",IF($N71&gt;1,"1",""),$O71), "")</f>
        <v/>
      </c>
    </row>
    <row r="72" customFormat="false" ht="15" hidden="false" customHeight="false" outlineLevel="0" collapsed="false">
      <c r="A72" s="0" t="n">
        <v>85</v>
      </c>
      <c r="B72" s="0" t="s">
        <v>16</v>
      </c>
      <c r="C72" s="0" t="s">
        <v>93</v>
      </c>
      <c r="D72" s="0" t="s">
        <v>136</v>
      </c>
      <c r="F72" s="1" t="s">
        <v>35</v>
      </c>
      <c r="J72" s="2" t="s">
        <v>21</v>
      </c>
      <c r="M72" s="3" t="str">
        <f aca="false">IF(A72-A71&lt;&gt;1,A72-A71,"")</f>
        <v/>
      </c>
      <c r="N72" s="3" t="n">
        <f aca="false">COUNTA(H72:L72)</f>
        <v>1</v>
      </c>
      <c r="O72" s="3" t="n">
        <v>718</v>
      </c>
      <c r="P72" s="3" t="str">
        <f aca="false">UPPER(_xlfn.CONCAT(LEFT(D72,3),O72,LEFT(C72,3)))</f>
        <v>HIL718IAN</v>
      </c>
      <c r="Q72" s="4" t="str">
        <f aca="false">IF(H72&lt;&gt;"", _xlfn.CONCAT("Motion ",IF($N72&gt;1,"5",""),$O72), "")</f>
        <v/>
      </c>
      <c r="R72" s="4" t="str">
        <f aca="false">IF(I72&lt;&gt;"", _xlfn.CONCAT("Motion ",IF($N72&gt;1,"4",""),$O72), "")</f>
        <v/>
      </c>
      <c r="S72" s="4" t="str">
        <f aca="false">IF(J72&lt;&gt;"", _xlfn.CONCAT("Motion ",$O72), "")</f>
        <v>Motion 718</v>
      </c>
      <c r="T72" s="4" t="str">
        <f aca="false">IF(K72&lt;&gt;"", _xlfn.CONCAT("Motion ",IF($N72&gt;1,"2",""),$O72), "")</f>
        <v/>
      </c>
      <c r="U72" s="4" t="str">
        <f aca="false">IF(L72&lt;&gt;"", _xlfn.CONCAT("Motion ",IF($N72&gt;1,"1",""),$O72), "")</f>
        <v/>
      </c>
    </row>
    <row r="73" customFormat="false" ht="15" hidden="false" customHeight="false" outlineLevel="0" collapsed="false">
      <c r="A73" s="0" t="n">
        <v>86</v>
      </c>
      <c r="B73" s="0" t="s">
        <v>16</v>
      </c>
      <c r="C73" s="0" t="s">
        <v>67</v>
      </c>
      <c r="D73" s="0" t="s">
        <v>137</v>
      </c>
      <c r="F73" s="1" t="s">
        <v>19</v>
      </c>
      <c r="I73" s="2" t="s">
        <v>20</v>
      </c>
      <c r="J73" s="2" t="s">
        <v>21</v>
      </c>
      <c r="M73" s="3" t="str">
        <f aca="false">IF(A73-A72&lt;&gt;1,A73-A72,"")</f>
        <v/>
      </c>
      <c r="N73" s="3" t="n">
        <f aca="false">COUNTA(H73:L73)</f>
        <v>2</v>
      </c>
      <c r="O73" s="3" t="n">
        <v>833</v>
      </c>
      <c r="P73" s="3" t="str">
        <f aca="false">UPPER(_xlfn.CONCAT(LEFT(D73,3),O73,LEFT(C73,3)))</f>
        <v>TWI833AND</v>
      </c>
      <c r="Q73" s="4" t="str">
        <f aca="false">IF(H73&lt;&gt;"", _xlfn.CONCAT("Motion ",IF($N73&gt;1,"5",""),$O73), "")</f>
        <v/>
      </c>
      <c r="R73" s="4" t="str">
        <f aca="false">IF(I73&lt;&gt;"", _xlfn.CONCAT("Motion ",IF($N73&gt;1,"4",""),$O73), "")</f>
        <v>Motion 4833</v>
      </c>
      <c r="S73" s="4" t="str">
        <f aca="false">IF(J73&lt;&gt;"", _xlfn.CONCAT("Motion ",$O73), "")</f>
        <v>Motion 833</v>
      </c>
      <c r="T73" s="4" t="str">
        <f aca="false">IF(K73&lt;&gt;"", _xlfn.CONCAT("Motion ",IF($N73&gt;1,"2",""),$O73), "")</f>
        <v/>
      </c>
      <c r="U73" s="4" t="str">
        <f aca="false">IF(L73&lt;&gt;"", _xlfn.CONCAT("Motion ",IF($N73&gt;1,"1",""),$O73), "")</f>
        <v/>
      </c>
    </row>
    <row r="74" customFormat="false" ht="15" hidden="false" customHeight="false" outlineLevel="0" collapsed="false">
      <c r="A74" s="0" t="n">
        <v>87</v>
      </c>
      <c r="B74" s="0" t="s">
        <v>16</v>
      </c>
      <c r="C74" s="0" t="s">
        <v>138</v>
      </c>
      <c r="D74" s="0" t="s">
        <v>139</v>
      </c>
      <c r="F74" s="1" t="s">
        <v>35</v>
      </c>
      <c r="J74" s="2" t="s">
        <v>21</v>
      </c>
      <c r="M74" s="3" t="str">
        <f aca="false">IF(A74-A73&lt;&gt;1,A74-A73,"")</f>
        <v/>
      </c>
      <c r="N74" s="3" t="n">
        <f aca="false">COUNTA(H74:L74)</f>
        <v>1</v>
      </c>
      <c r="O74" s="3" t="n">
        <v>811</v>
      </c>
      <c r="P74" s="3" t="str">
        <f aca="false">UPPER(_xlfn.CONCAT(LEFT(D74,3),O74,LEFT(C74,3)))</f>
        <v>HUM811TIM</v>
      </c>
      <c r="Q74" s="4" t="str">
        <f aca="false">IF(H74&lt;&gt;"", _xlfn.CONCAT("Motion ",IF($N74&gt;1,"5",""),$O74), "")</f>
        <v/>
      </c>
      <c r="R74" s="4" t="str">
        <f aca="false">IF(I74&lt;&gt;"", _xlfn.CONCAT("Motion ",IF($N74&gt;1,"4",""),$O74), "")</f>
        <v/>
      </c>
      <c r="S74" s="4" t="str">
        <f aca="false">IF(J74&lt;&gt;"", _xlfn.CONCAT("Motion ",$O74), "")</f>
        <v>Motion 811</v>
      </c>
      <c r="T74" s="4" t="str">
        <f aca="false">IF(K74&lt;&gt;"", _xlfn.CONCAT("Motion ",IF($N74&gt;1,"2",""),$O74), "")</f>
        <v/>
      </c>
      <c r="U74" s="4" t="str">
        <f aca="false">IF(L74&lt;&gt;"", _xlfn.CONCAT("Motion ",IF($N74&gt;1,"1",""),$O74), "")</f>
        <v/>
      </c>
    </row>
    <row r="75" customFormat="false" ht="15" hidden="false" customHeight="false" outlineLevel="0" collapsed="false">
      <c r="A75" s="0" t="n">
        <v>88</v>
      </c>
      <c r="B75" s="0" t="s">
        <v>16</v>
      </c>
      <c r="C75" s="0" t="s">
        <v>113</v>
      </c>
      <c r="D75" s="0" t="s">
        <v>140</v>
      </c>
      <c r="F75" s="1" t="s">
        <v>19</v>
      </c>
      <c r="G75" s="1" t="n">
        <v>1002</v>
      </c>
      <c r="J75" s="2" t="s">
        <v>21</v>
      </c>
      <c r="M75" s="3" t="str">
        <f aca="false">IF(A75-A74&lt;&gt;1,A75-A74,"")</f>
        <v/>
      </c>
      <c r="N75" s="3" t="n">
        <f aca="false">COUNTA(H75:L75)</f>
        <v>1</v>
      </c>
      <c r="O75" s="11" t="n">
        <v>1001</v>
      </c>
      <c r="P75" s="3" t="str">
        <f aca="false">UPPER(_xlfn.CONCAT(LEFT(D75,3),O75,LEFT(C75,3)))</f>
        <v>GOO1001GAR</v>
      </c>
      <c r="Q75" s="4" t="str">
        <f aca="false">IF(H75&lt;&gt;"", _xlfn.CONCAT("Motion ",IF($N75&gt;1,"5",""),$O75), "")</f>
        <v/>
      </c>
      <c r="R75" s="4" t="str">
        <f aca="false">IF(I75&lt;&gt;"", _xlfn.CONCAT("Motion ",IF($N75&gt;1,"4",""),$O75), "")</f>
        <v/>
      </c>
      <c r="S75" s="4" t="str">
        <f aca="false">IF(J75&lt;&gt;"", _xlfn.CONCAT("Motion ",$O75), "")</f>
        <v>Motion 1001</v>
      </c>
      <c r="T75" s="4" t="str">
        <f aca="false">IF(K75&lt;&gt;"", _xlfn.CONCAT("Motion ",IF($N75&gt;1,"2",""),$O75), "")</f>
        <v/>
      </c>
      <c r="U75" s="4" t="str">
        <f aca="false">IF(L75&lt;&gt;"", _xlfn.CONCAT("Motion ",IF($N75&gt;1,"1",""),$O75), "")</f>
        <v/>
      </c>
    </row>
    <row r="76" customFormat="false" ht="15" hidden="false" customHeight="false" outlineLevel="0" collapsed="false">
      <c r="A76" s="0" t="n">
        <v>89</v>
      </c>
      <c r="B76" s="0" t="s">
        <v>16</v>
      </c>
      <c r="C76" s="0" t="s">
        <v>141</v>
      </c>
      <c r="D76" s="0" t="s">
        <v>142</v>
      </c>
      <c r="F76" s="1" t="s">
        <v>19</v>
      </c>
      <c r="J76" s="2" t="s">
        <v>21</v>
      </c>
      <c r="M76" s="3" t="str">
        <f aca="false">IF(A76-A75&lt;&gt;1,A76-A75,"")</f>
        <v/>
      </c>
      <c r="N76" s="3" t="n">
        <f aca="false">COUNTA(H76:L76)</f>
        <v>1</v>
      </c>
      <c r="O76" s="3" t="n">
        <v>647</v>
      </c>
      <c r="P76" s="3" t="str">
        <f aca="false">UPPER(_xlfn.CONCAT(LEFT(D76,3),O76,LEFT(C76,3)))</f>
        <v>WHA647TRE</v>
      </c>
      <c r="Q76" s="4" t="str">
        <f aca="false">IF(H76&lt;&gt;"", _xlfn.CONCAT("Motion ",IF($N76&gt;1,"5",""),$O76), "")</f>
        <v/>
      </c>
      <c r="R76" s="4" t="str">
        <f aca="false">IF(I76&lt;&gt;"", _xlfn.CONCAT("Motion ",IF($N76&gt;1,"4",""),$O76), "")</f>
        <v/>
      </c>
      <c r="S76" s="4" t="str">
        <f aca="false">IF(J76&lt;&gt;"", _xlfn.CONCAT("Motion ",$O76), "")</f>
        <v>Motion 647</v>
      </c>
      <c r="T76" s="4" t="str">
        <f aca="false">IF(K76&lt;&gt;"", _xlfn.CONCAT("Motion ",IF($N76&gt;1,"2",""),$O76), "")</f>
        <v/>
      </c>
      <c r="U76" s="4" t="str">
        <f aca="false">IF(L76&lt;&gt;"", _xlfn.CONCAT("Motion ",IF($N76&gt;1,"1",""),$O76), "")</f>
        <v/>
      </c>
    </row>
    <row r="77" customFormat="false" ht="15" hidden="false" customHeight="false" outlineLevel="0" collapsed="false">
      <c r="A77" s="0" t="n">
        <v>90</v>
      </c>
      <c r="B77" s="0" t="s">
        <v>16</v>
      </c>
      <c r="C77" s="0" t="s">
        <v>105</v>
      </c>
      <c r="D77" s="0" t="s">
        <v>143</v>
      </c>
      <c r="E77" s="1" t="s">
        <v>19</v>
      </c>
      <c r="F77" s="1" t="s">
        <v>35</v>
      </c>
      <c r="J77" s="2" t="s">
        <v>21</v>
      </c>
      <c r="M77" s="3" t="str">
        <f aca="false">IF(A77-A76&lt;&gt;1,A77-A76,"")</f>
        <v/>
      </c>
      <c r="N77" s="3" t="n">
        <f aca="false">COUNTA(H77:L77)</f>
        <v>1</v>
      </c>
      <c r="O77" s="3" t="n">
        <v>1040</v>
      </c>
      <c r="P77" s="3" t="str">
        <f aca="false">UPPER(_xlfn.CONCAT(LEFT(D77,3),O77,LEFT(C77,3)))</f>
        <v>KIE1040OLI</v>
      </c>
      <c r="Q77" s="4" t="str">
        <f aca="false">IF(H77&lt;&gt;"", _xlfn.CONCAT("Motion ",IF($N77&gt;1,"5",""),$O77), "")</f>
        <v/>
      </c>
      <c r="R77" s="4" t="str">
        <f aca="false">IF(I77&lt;&gt;"", _xlfn.CONCAT("Motion ",IF($N77&gt;1,"4",""),$O77), "")</f>
        <v/>
      </c>
      <c r="S77" s="4" t="str">
        <f aca="false">IF(J77&lt;&gt;"", _xlfn.CONCAT("Motion ",$O77), "")</f>
        <v>Motion 1040</v>
      </c>
      <c r="T77" s="4" t="str">
        <f aca="false">IF(K77&lt;&gt;"", _xlfn.CONCAT("Motion ",IF($N77&gt;1,"2",""),$O77), "")</f>
        <v/>
      </c>
      <c r="U77" s="4" t="str">
        <f aca="false">IF(L77&lt;&gt;"", _xlfn.CONCAT("Motion ",IF($N77&gt;1,"1",""),$O77), "")</f>
        <v/>
      </c>
    </row>
    <row r="78" customFormat="false" ht="15" hidden="false" customHeight="false" outlineLevel="0" collapsed="false">
      <c r="A78" s="0" t="n">
        <v>91</v>
      </c>
      <c r="B78" s="0" t="s">
        <v>16</v>
      </c>
      <c r="C78" s="0" t="s">
        <v>144</v>
      </c>
      <c r="D78" s="0" t="s">
        <v>145</v>
      </c>
      <c r="F78" s="1" t="s">
        <v>19</v>
      </c>
      <c r="G78" s="1" t="n">
        <v>676</v>
      </c>
      <c r="J78" s="2" t="s">
        <v>21</v>
      </c>
      <c r="M78" s="3" t="str">
        <f aca="false">IF(A78-A77&lt;&gt;1,A78-A77,"")</f>
        <v/>
      </c>
      <c r="N78" s="3" t="n">
        <f aca="false">COUNTA(H78:L78)</f>
        <v>1</v>
      </c>
      <c r="O78" s="11" t="n">
        <f aca="false">G78</f>
        <v>676</v>
      </c>
      <c r="P78" s="3" t="str">
        <f aca="false">UPPER(_xlfn.CONCAT(LEFT(D78,3),O78,LEFT(C78,3)))</f>
        <v>NEA676IAI</v>
      </c>
      <c r="Q78" s="4" t="str">
        <f aca="false">IF(H78&lt;&gt;"", _xlfn.CONCAT("Motion ",IF($N78&gt;1,"5",""),$O78), "")</f>
        <v/>
      </c>
      <c r="R78" s="4" t="str">
        <f aca="false">IF(I78&lt;&gt;"", _xlfn.CONCAT("Motion ",IF($N78&gt;1,"4",""),$O78), "")</f>
        <v/>
      </c>
      <c r="S78" s="4" t="str">
        <f aca="false">IF(J78&lt;&gt;"", _xlfn.CONCAT("Motion ",$O78), "")</f>
        <v>Motion 676</v>
      </c>
      <c r="T78" s="4" t="str">
        <f aca="false">IF(K78&lt;&gt;"", _xlfn.CONCAT("Motion ",IF($N78&gt;1,"2",""),$O78), "")</f>
        <v/>
      </c>
      <c r="U78" s="4" t="str">
        <f aca="false">IF(L78&lt;&gt;"", _xlfn.CONCAT("Motion ",IF($N78&gt;1,"1",""),$O78), "")</f>
        <v/>
      </c>
    </row>
    <row r="79" customFormat="false" ht="15" hidden="false" customHeight="false" outlineLevel="0" collapsed="false">
      <c r="A79" s="0" t="n">
        <v>92</v>
      </c>
      <c r="B79" s="0" t="s">
        <v>16</v>
      </c>
      <c r="C79" s="0" t="s">
        <v>146</v>
      </c>
      <c r="D79" s="0" t="s">
        <v>147</v>
      </c>
      <c r="K79" s="2" t="s">
        <v>29</v>
      </c>
      <c r="M79" s="3" t="str">
        <f aca="false">IF(A79-A78&lt;&gt;1,A79-A78,"")</f>
        <v/>
      </c>
      <c r="N79" s="3" t="n">
        <f aca="false">COUNTA(H79:L79)</f>
        <v>1</v>
      </c>
      <c r="O79" s="3" t="n">
        <v>660</v>
      </c>
      <c r="P79" s="3" t="str">
        <f aca="false">UPPER(_xlfn.CONCAT(LEFT(D79,3),O79,LEFT(C79,3)))</f>
        <v>CAR660MAR</v>
      </c>
      <c r="Q79" s="4" t="str">
        <f aca="false">IF(H79&lt;&gt;"", _xlfn.CONCAT("Motion ",IF($N79&gt;1,"5",""),$O79), "")</f>
        <v/>
      </c>
      <c r="R79" s="4" t="str">
        <f aca="false">IF(I79&lt;&gt;"", _xlfn.CONCAT("Motion ",IF($N79&gt;1,"4",""),$O79), "")</f>
        <v/>
      </c>
      <c r="S79" s="4" t="str">
        <f aca="false">IF(J79&lt;&gt;"", _xlfn.CONCAT("Motion ",$O79), "")</f>
        <v/>
      </c>
      <c r="T79" s="4" t="str">
        <f aca="false">IF(K79&lt;&gt;"", _xlfn.CONCAT("Motion ",IF($N79&gt;1,"2",""),$O79), "")</f>
        <v>Motion 660</v>
      </c>
      <c r="U79" s="4" t="str">
        <f aca="false">IF(L79&lt;&gt;"", _xlfn.CONCAT("Motion ",IF($N79&gt;1,"1",""),$O79), "")</f>
        <v/>
      </c>
    </row>
    <row r="80" customFormat="false" ht="15" hidden="false" customHeight="false" outlineLevel="0" collapsed="false">
      <c r="A80" s="0" t="n">
        <v>93</v>
      </c>
      <c r="B80" s="0" t="s">
        <v>16</v>
      </c>
      <c r="C80" s="0" t="s">
        <v>148</v>
      </c>
      <c r="D80" s="0" t="s">
        <v>149</v>
      </c>
      <c r="F80" s="1" t="s">
        <v>19</v>
      </c>
      <c r="G80" s="1" t="n">
        <v>704</v>
      </c>
      <c r="J80" s="2" t="s">
        <v>21</v>
      </c>
      <c r="M80" s="3" t="str">
        <f aca="false">IF(A80-A79&lt;&gt;1,A80-A79,"")</f>
        <v/>
      </c>
      <c r="N80" s="3" t="n">
        <f aca="false">COUNTA(H80:L80)</f>
        <v>1</v>
      </c>
      <c r="O80" s="11" t="n">
        <f aca="false">G80</f>
        <v>704</v>
      </c>
      <c r="P80" s="3" t="str">
        <f aca="false">UPPER(_xlfn.CONCAT(LEFT(D80,3),O80,LEFT(C80,3)))</f>
        <v>VER704SHA</v>
      </c>
      <c r="Q80" s="4" t="str">
        <f aca="false">IF(H80&lt;&gt;"", _xlfn.CONCAT("Motion ",IF($N80&gt;1,"5",""),$O80), "")</f>
        <v/>
      </c>
      <c r="R80" s="4" t="str">
        <f aca="false">IF(I80&lt;&gt;"", _xlfn.CONCAT("Motion ",IF($N80&gt;1,"4",""),$O80), "")</f>
        <v/>
      </c>
      <c r="S80" s="4" t="str">
        <f aca="false">IF(J80&lt;&gt;"", _xlfn.CONCAT("Motion ",$O80), "")</f>
        <v>Motion 704</v>
      </c>
      <c r="T80" s="4" t="str">
        <f aca="false">IF(K80&lt;&gt;"", _xlfn.CONCAT("Motion ",IF($N80&gt;1,"2",""),$O80), "")</f>
        <v/>
      </c>
      <c r="U80" s="4" t="str">
        <f aca="false">IF(L80&lt;&gt;"", _xlfn.CONCAT("Motion ",IF($N80&gt;1,"1",""),$O80), "")</f>
        <v/>
      </c>
    </row>
    <row r="81" customFormat="false" ht="15" hidden="false" customHeight="false" outlineLevel="0" collapsed="false">
      <c r="A81" s="0" t="n">
        <v>94</v>
      </c>
      <c r="B81" s="0" t="s">
        <v>16</v>
      </c>
      <c r="C81" s="0" t="s">
        <v>85</v>
      </c>
      <c r="D81" s="0" t="s">
        <v>150</v>
      </c>
      <c r="F81" s="1" t="s">
        <v>35</v>
      </c>
      <c r="J81" s="2" t="s">
        <v>21</v>
      </c>
      <c r="M81" s="3" t="str">
        <f aca="false">IF(A81-A80&lt;&gt;1,A81-A80,"")</f>
        <v/>
      </c>
      <c r="N81" s="3" t="n">
        <f aca="false">COUNTA(H81:L81)</f>
        <v>1</v>
      </c>
      <c r="O81" s="3" t="n">
        <v>661</v>
      </c>
      <c r="P81" s="3" t="str">
        <f aca="false">UPPER(_xlfn.CONCAT(LEFT(D81,3),O81,LEFT(C81,3)))</f>
        <v>BRA661PAU</v>
      </c>
      <c r="Q81" s="4" t="str">
        <f aca="false">IF(H81&lt;&gt;"", _xlfn.CONCAT("Motion ",IF($N81&gt;1,"5",""),$O81), "")</f>
        <v/>
      </c>
      <c r="R81" s="4" t="str">
        <f aca="false">IF(I81&lt;&gt;"", _xlfn.CONCAT("Motion ",IF($N81&gt;1,"4",""),$O81), "")</f>
        <v/>
      </c>
      <c r="S81" s="4" t="str">
        <f aca="false">IF(J81&lt;&gt;"", _xlfn.CONCAT("Motion ",$O81), "")</f>
        <v>Motion 661</v>
      </c>
      <c r="T81" s="4" t="str">
        <f aca="false">IF(K81&lt;&gt;"", _xlfn.CONCAT("Motion ",IF($N81&gt;1,"2",""),$O81), "")</f>
        <v/>
      </c>
      <c r="U81" s="4" t="str">
        <f aca="false">IF(L81&lt;&gt;"", _xlfn.CONCAT("Motion ",IF($N81&gt;1,"1",""),$O81), "")</f>
        <v/>
      </c>
    </row>
    <row r="82" customFormat="false" ht="15" hidden="false" customHeight="false" outlineLevel="0" collapsed="false">
      <c r="A82" s="0" t="n">
        <v>96</v>
      </c>
      <c r="B82" s="0" t="s">
        <v>16</v>
      </c>
      <c r="C82" s="0" t="s">
        <v>151</v>
      </c>
      <c r="D82" s="0" t="s">
        <v>152</v>
      </c>
      <c r="F82" s="1" t="s">
        <v>35</v>
      </c>
      <c r="I82" s="2" t="s">
        <v>20</v>
      </c>
      <c r="J82" s="2" t="s">
        <v>21</v>
      </c>
      <c r="M82" s="12" t="n">
        <f aca="false">IF(A82-A81&lt;&gt;1,A82-A81,"")</f>
        <v>2</v>
      </c>
      <c r="N82" s="3" t="n">
        <f aca="false">COUNTA(H82:L82)</f>
        <v>2</v>
      </c>
      <c r="O82" s="3" t="n">
        <v>866</v>
      </c>
      <c r="P82" s="3" t="str">
        <f aca="false">UPPER(_xlfn.CONCAT(LEFT(D82,3),O82,LEFT(C82,3)))</f>
        <v>CRO866ALL</v>
      </c>
      <c r="Q82" s="4" t="str">
        <f aca="false">IF(H82&lt;&gt;"", _xlfn.CONCAT("Motion ",IF($N82&gt;1,"5",""),$O82), "")</f>
        <v/>
      </c>
      <c r="R82" s="4" t="str">
        <f aca="false">IF(I82&lt;&gt;"", _xlfn.CONCAT("Motion ",IF($N82&gt;1,"4",""),$O82), "")</f>
        <v>Motion 4866</v>
      </c>
      <c r="S82" s="4" t="str">
        <f aca="false">IF(J82&lt;&gt;"", _xlfn.CONCAT("Motion ",$O82), "")</f>
        <v>Motion 866</v>
      </c>
      <c r="T82" s="4" t="str">
        <f aca="false">IF(K82&lt;&gt;"", _xlfn.CONCAT("Motion ",IF($N82&gt;1,"2",""),$O82), "")</f>
        <v/>
      </c>
      <c r="U82" s="4" t="str">
        <f aca="false">IF(L82&lt;&gt;"", _xlfn.CONCAT("Motion ",IF($N82&gt;1,"1",""),$O82), "")</f>
        <v/>
      </c>
    </row>
    <row r="83" customFormat="false" ht="15" hidden="false" customHeight="false" outlineLevel="0" collapsed="false">
      <c r="A83" s="0" t="n">
        <v>97</v>
      </c>
      <c r="B83" s="0" t="s">
        <v>16</v>
      </c>
      <c r="C83" s="0" t="s">
        <v>153</v>
      </c>
      <c r="D83" s="0" t="s">
        <v>154</v>
      </c>
      <c r="E83" s="1" t="s">
        <v>19</v>
      </c>
      <c r="F83" s="1" t="s">
        <v>19</v>
      </c>
      <c r="H83" s="2" t="s">
        <v>40</v>
      </c>
      <c r="M83" s="3" t="str">
        <f aca="false">IF(A83-A82&lt;&gt;1,A83-A82,"")</f>
        <v/>
      </c>
      <c r="N83" s="3" t="n">
        <f aca="false">COUNTA(H83:L83)</f>
        <v>1</v>
      </c>
      <c r="O83" s="3" t="n">
        <v>825</v>
      </c>
      <c r="P83" s="3" t="str">
        <f aca="false">UPPER(_xlfn.CONCAT(LEFT(D83,3),O83,LEFT(C83,3)))</f>
        <v>MIL825JAY</v>
      </c>
      <c r="Q83" s="4" t="str">
        <f aca="false">IF(H83&lt;&gt;"", _xlfn.CONCAT("Motion ",IF($N83&gt;1,"5",""),$O83), "")</f>
        <v>Motion 825</v>
      </c>
      <c r="R83" s="4" t="str">
        <f aca="false">IF(I83&lt;&gt;"", _xlfn.CONCAT("Motion ",IF($N83&gt;1,"4",""),$O83), "")</f>
        <v/>
      </c>
      <c r="S83" s="4" t="str">
        <f aca="false">IF(J83&lt;&gt;"", _xlfn.CONCAT("Motion ",$O83), "")</f>
        <v/>
      </c>
      <c r="T83" s="4" t="str">
        <f aca="false">IF(K83&lt;&gt;"", _xlfn.CONCAT("Motion ",IF($N83&gt;1,"2",""),$O83), "")</f>
        <v/>
      </c>
      <c r="U83" s="4" t="str">
        <f aca="false">IF(L83&lt;&gt;"", _xlfn.CONCAT("Motion ",IF($N83&gt;1,"1",""),$O83), "")</f>
        <v/>
      </c>
    </row>
    <row r="84" customFormat="false" ht="15" hidden="false" customHeight="false" outlineLevel="0" collapsed="false">
      <c r="A84" s="0" t="n">
        <v>98</v>
      </c>
      <c r="B84" s="0" t="s">
        <v>16</v>
      </c>
      <c r="C84" s="0" t="s">
        <v>99</v>
      </c>
      <c r="D84" s="0" t="s">
        <v>155</v>
      </c>
      <c r="F84" s="1" t="s">
        <v>35</v>
      </c>
      <c r="J84" s="2" t="s">
        <v>21</v>
      </c>
      <c r="M84" s="3" t="str">
        <f aca="false">IF(A84-A83&lt;&gt;1,A84-A83,"")</f>
        <v/>
      </c>
      <c r="N84" s="3" t="n">
        <f aca="false">COUNTA(H84:L84)</f>
        <v>1</v>
      </c>
      <c r="O84" s="3" t="n">
        <v>633</v>
      </c>
      <c r="P84" s="3" t="str">
        <f aca="false">UPPER(_xlfn.CONCAT(LEFT(D84,3),O84,LEFT(C84,3)))</f>
        <v>PEN633ROB</v>
      </c>
      <c r="Q84" s="4" t="str">
        <f aca="false">IF(H84&lt;&gt;"", _xlfn.CONCAT("Motion ",IF($N84&gt;1,"5",""),$O84), "")</f>
        <v/>
      </c>
      <c r="R84" s="4" t="str">
        <f aca="false">IF(I84&lt;&gt;"", _xlfn.CONCAT("Motion ",IF($N84&gt;1,"4",""),$O84), "")</f>
        <v/>
      </c>
      <c r="S84" s="4" t="str">
        <f aca="false">IF(J84&lt;&gt;"", _xlfn.CONCAT("Motion ",$O84), "")</f>
        <v>Motion 633</v>
      </c>
      <c r="T84" s="4" t="str">
        <f aca="false">IF(K84&lt;&gt;"", _xlfn.CONCAT("Motion ",IF($N84&gt;1,"2",""),$O84), "")</f>
        <v/>
      </c>
      <c r="U84" s="4" t="str">
        <f aca="false">IF(L84&lt;&gt;"", _xlfn.CONCAT("Motion ",IF($N84&gt;1,"1",""),$O84), "")</f>
        <v/>
      </c>
    </row>
    <row r="85" customFormat="false" ht="15" hidden="false" customHeight="false" outlineLevel="0" collapsed="false">
      <c r="A85" s="0" t="n">
        <v>99</v>
      </c>
      <c r="B85" s="0" t="s">
        <v>16</v>
      </c>
      <c r="C85" s="0" t="s">
        <v>76</v>
      </c>
      <c r="D85" s="0" t="s">
        <v>156</v>
      </c>
      <c r="F85" s="1" t="s">
        <v>35</v>
      </c>
      <c r="J85" s="2" t="s">
        <v>21</v>
      </c>
      <c r="K85" s="2" t="s">
        <v>29</v>
      </c>
      <c r="M85" s="3" t="str">
        <f aca="false">IF(A85-A84&lt;&gt;1,A85-A84,"")</f>
        <v/>
      </c>
      <c r="N85" s="3" t="n">
        <f aca="false">COUNTA(H85:L85)</f>
        <v>2</v>
      </c>
      <c r="O85" s="3" t="n">
        <v>695</v>
      </c>
      <c r="P85" s="3" t="str">
        <f aca="false">UPPER(_xlfn.CONCAT(LEFT(D85,3),O85,LEFT(C85,3)))</f>
        <v>DAV695STE</v>
      </c>
      <c r="Q85" s="4" t="str">
        <f aca="false">IF(H85&lt;&gt;"", _xlfn.CONCAT("Motion ",IF($N85&gt;1,"5",""),$O85), "")</f>
        <v/>
      </c>
      <c r="R85" s="4" t="str">
        <f aca="false">IF(I85&lt;&gt;"", _xlfn.CONCAT("Motion ",IF($N85&gt;1,"4",""),$O85), "")</f>
        <v/>
      </c>
      <c r="S85" s="4" t="str">
        <f aca="false">IF(J85&lt;&gt;"", _xlfn.CONCAT("Motion ",$O85), "")</f>
        <v>Motion 695</v>
      </c>
      <c r="T85" s="4" t="str">
        <f aca="false">IF(K85&lt;&gt;"", _xlfn.CONCAT("Motion ",IF($N85&gt;1,"2",""),$O85), "")</f>
        <v>Motion 2695</v>
      </c>
      <c r="U85" s="4" t="str">
        <f aca="false">IF(L85&lt;&gt;"", _xlfn.CONCAT("Motion ",IF($N85&gt;1,"1",""),$O85), "")</f>
        <v/>
      </c>
    </row>
    <row r="86" customFormat="false" ht="15" hidden="false" customHeight="false" outlineLevel="0" collapsed="false">
      <c r="A86" s="0" t="n">
        <v>100</v>
      </c>
      <c r="B86" s="0" t="s">
        <v>16</v>
      </c>
      <c r="C86" s="0" t="s">
        <v>157</v>
      </c>
      <c r="D86" s="0" t="s">
        <v>158</v>
      </c>
      <c r="E86" s="1" t="s">
        <v>19</v>
      </c>
      <c r="F86" s="1" t="s">
        <v>35</v>
      </c>
      <c r="J86" s="2" t="s">
        <v>21</v>
      </c>
      <c r="M86" s="3" t="str">
        <f aca="false">IF(A86-A85&lt;&gt;1,A86-A85,"")</f>
        <v/>
      </c>
      <c r="N86" s="3" t="n">
        <f aca="false">COUNTA(H86:L86)</f>
        <v>1</v>
      </c>
      <c r="O86" s="3" t="n">
        <v>823</v>
      </c>
      <c r="P86" s="3" t="str">
        <f aca="false">UPPER(_xlfn.CONCAT(LEFT(D86,3),O86,LEFT(C86,3)))</f>
        <v>VIC823MIT</v>
      </c>
      <c r="Q86" s="4" t="str">
        <f aca="false">IF(H86&lt;&gt;"", _xlfn.CONCAT("Motion ",IF($N86&gt;1,"5",""),$O86), "")</f>
        <v/>
      </c>
      <c r="R86" s="4" t="str">
        <f aca="false">IF(I86&lt;&gt;"", _xlfn.CONCAT("Motion ",IF($N86&gt;1,"4",""),$O86), "")</f>
        <v/>
      </c>
      <c r="S86" s="4" t="str">
        <f aca="false">IF(J86&lt;&gt;"", _xlfn.CONCAT("Motion ",$O86), "")</f>
        <v>Motion 823</v>
      </c>
      <c r="T86" s="4" t="str">
        <f aca="false">IF(K86&lt;&gt;"", _xlfn.CONCAT("Motion ",IF($N86&gt;1,"2",""),$O86), "")</f>
        <v/>
      </c>
      <c r="U86" s="4" t="str">
        <f aca="false">IF(L86&lt;&gt;"", _xlfn.CONCAT("Motion ",IF($N86&gt;1,"1",""),$O86), "")</f>
        <v/>
      </c>
    </row>
    <row r="87" customFormat="false" ht="15" hidden="false" customHeight="false" outlineLevel="0" collapsed="false">
      <c r="A87" s="0" t="n">
        <v>101</v>
      </c>
      <c r="B87" s="0" t="s">
        <v>16</v>
      </c>
      <c r="C87" s="0" t="s">
        <v>159</v>
      </c>
      <c r="D87" s="0" t="s">
        <v>160</v>
      </c>
      <c r="E87" s="1" t="s">
        <v>19</v>
      </c>
      <c r="F87" s="1" t="s">
        <v>19</v>
      </c>
      <c r="H87" s="2" t="s">
        <v>40</v>
      </c>
      <c r="N87" s="3" t="n">
        <f aca="false">COUNTA(H87:L87)</f>
        <v>1</v>
      </c>
      <c r="O87" s="3" t="n">
        <v>601</v>
      </c>
      <c r="P87" s="3" t="str">
        <f aca="false">UPPER(_xlfn.CONCAT(LEFT(D87,3),O87,LEFT(C87,3)))</f>
        <v>DEM601OSC</v>
      </c>
      <c r="Q87" s="4" t="str">
        <f aca="false">IF(H87&lt;&gt;"", _xlfn.CONCAT("Motion ",$O87), "")</f>
        <v>Motion 601</v>
      </c>
      <c r="R87" s="4" t="str">
        <f aca="false">IF(I87&lt;&gt;"", _xlfn.CONCAT("Motion ",IF($N87&gt;1,"4",""),$O87), "")</f>
        <v/>
      </c>
      <c r="T87" s="4" t="str">
        <f aca="false">IF(K87&lt;&gt;"", _xlfn.CONCAT("Motion ",IF($N87&gt;1,"2",""),$O87), "")</f>
        <v/>
      </c>
      <c r="U87" s="4" t="str">
        <f aca="false">IF(L87&lt;&gt;"", _xlfn.CONCAT("Motion ",IF($N87&gt;1,"1",""),$O87), "")</f>
        <v/>
      </c>
    </row>
    <row r="94" customFormat="false" ht="13.8" hidden="false" customHeight="false" outlineLevel="0" collapsed="false">
      <c r="C94" s="13" t="s">
        <v>161</v>
      </c>
      <c r="D94" s="0" t="s">
        <v>162</v>
      </c>
      <c r="E94" s="0" t="n">
        <v>724</v>
      </c>
    </row>
    <row r="95" customFormat="false" ht="13.8" hidden="false" customHeight="false" outlineLevel="0" collapsed="false">
      <c r="C95" s="13" t="s">
        <v>163</v>
      </c>
      <c r="D95" s="0" t="s">
        <v>164</v>
      </c>
      <c r="E95" s="0" t="n">
        <v>705</v>
      </c>
    </row>
    <row r="96" customFormat="false" ht="13.8" hidden="false" customHeight="false" outlineLevel="0" collapsed="false">
      <c r="C96" s="13" t="s">
        <v>165</v>
      </c>
      <c r="D96" s="0" t="s">
        <v>166</v>
      </c>
      <c r="E96" s="0" t="n">
        <v>619</v>
      </c>
    </row>
    <row r="97" customFormat="false" ht="13.8" hidden="false" customHeight="false" outlineLevel="0" collapsed="false">
      <c r="C97" s="13" t="s">
        <v>36</v>
      </c>
      <c r="D97" s="0" t="s">
        <v>167</v>
      </c>
      <c r="E97" s="0" t="n">
        <v>946</v>
      </c>
    </row>
  </sheetData>
  <autoFilter ref="A:U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4" activePane="bottomLeft" state="frozen"/>
      <selection pane="topLeft" activeCell="A1" activeCellId="0" sqref="A1"/>
      <selection pane="bottomLeft" activeCell="B93" activeCellId="0" sqref="B93"/>
    </sheetView>
  </sheetViews>
  <sheetFormatPr defaultColWidth="8.6015625" defaultRowHeight="15" zeroHeight="false" outlineLevelRow="0" outlineLevelCol="0"/>
  <cols>
    <col collapsed="false" customWidth="true" hidden="false" outlineLevel="0" max="1" min="1" style="1" width="5.29"/>
    <col collapsed="false" customWidth="true" hidden="false" outlineLevel="0" max="2" min="2" style="1" width="20.43"/>
    <col collapsed="false" customWidth="true" hidden="false" outlineLevel="0" max="3" min="3" style="1" width="24.14"/>
    <col collapsed="false" customWidth="true" hidden="false" outlineLevel="0" max="4" min="4" style="1" width="23.57"/>
    <col collapsed="false" customWidth="true" hidden="false" outlineLevel="0" max="5" min="5" style="1" width="19.29"/>
    <col collapsed="false" customWidth="true" hidden="false" outlineLevel="0" max="6" min="6" style="1" width="14.57"/>
  </cols>
  <sheetData>
    <row r="1" s="5" customFormat="true" ht="15" hidden="false" customHeight="false" outlineLevel="0" collapsed="false">
      <c r="A1" s="6" t="s">
        <v>0</v>
      </c>
      <c r="B1" s="6" t="s">
        <v>7</v>
      </c>
      <c r="C1" s="6" t="s">
        <v>8</v>
      </c>
      <c r="D1" s="6" t="s">
        <v>9</v>
      </c>
      <c r="E1" s="6" t="s">
        <v>10</v>
      </c>
      <c r="F1" s="6" t="s">
        <v>11</v>
      </c>
    </row>
    <row r="2" customFormat="false" ht="15" hidden="false" customHeight="false" outlineLevel="0" collapsed="false">
      <c r="A2" s="1" t="n">
        <v>13</v>
      </c>
      <c r="C2" s="1" t="s">
        <v>168</v>
      </c>
      <c r="D2" s="1" t="s">
        <v>169</v>
      </c>
    </row>
    <row r="3" customFormat="false" ht="15" hidden="false" customHeight="false" outlineLevel="0" collapsed="false">
      <c r="A3" s="1" t="n">
        <v>14</v>
      </c>
      <c r="C3" s="1" t="s">
        <v>170</v>
      </c>
      <c r="D3" s="1" t="s">
        <v>171</v>
      </c>
    </row>
    <row r="4" customFormat="false" ht="15" hidden="false" customHeight="false" outlineLevel="0" collapsed="false">
      <c r="A4" s="1" t="n">
        <v>15</v>
      </c>
      <c r="C4" s="1" t="s">
        <v>172</v>
      </c>
      <c r="D4" s="1" t="s">
        <v>173</v>
      </c>
    </row>
    <row r="5" customFormat="false" ht="15" hidden="false" customHeight="false" outlineLevel="0" collapsed="false">
      <c r="A5" s="1" t="n">
        <v>16</v>
      </c>
      <c r="E5" s="1" t="s">
        <v>174</v>
      </c>
    </row>
    <row r="6" customFormat="false" ht="15" hidden="false" customHeight="false" outlineLevel="0" collapsed="false">
      <c r="A6" s="1" t="n">
        <v>17</v>
      </c>
      <c r="E6" s="1" t="s">
        <v>175</v>
      </c>
    </row>
    <row r="7" customFormat="false" ht="15" hidden="false" customHeight="false" outlineLevel="0" collapsed="false">
      <c r="A7" s="1" t="n">
        <v>18</v>
      </c>
      <c r="C7" s="1" t="s">
        <v>176</v>
      </c>
      <c r="D7" s="1" t="s">
        <v>177</v>
      </c>
    </row>
    <row r="8" customFormat="false" ht="15" hidden="false" customHeight="false" outlineLevel="0" collapsed="false">
      <c r="A8" s="1" t="n">
        <v>19</v>
      </c>
      <c r="D8" s="1" t="s">
        <v>178</v>
      </c>
    </row>
    <row r="9" customFormat="false" ht="15" hidden="false" customHeight="false" outlineLevel="0" collapsed="false">
      <c r="A9" s="1" t="n">
        <v>20</v>
      </c>
      <c r="B9" s="1" t="s">
        <v>179</v>
      </c>
    </row>
    <row r="10" customFormat="false" ht="15" hidden="false" customHeight="false" outlineLevel="0" collapsed="false">
      <c r="A10" s="1" t="n">
        <v>21</v>
      </c>
      <c r="D10" s="1" t="s">
        <v>180</v>
      </c>
    </row>
    <row r="11" customFormat="false" ht="15" hidden="false" customHeight="false" outlineLevel="0" collapsed="false">
      <c r="A11" s="1" t="n">
        <v>22</v>
      </c>
      <c r="C11" s="1" t="s">
        <v>181</v>
      </c>
      <c r="D11" s="1" t="s">
        <v>182</v>
      </c>
    </row>
    <row r="12" customFormat="false" ht="15" hidden="false" customHeight="false" outlineLevel="0" collapsed="false">
      <c r="A12" s="1" t="n">
        <v>23</v>
      </c>
      <c r="D12" s="1" t="s">
        <v>183</v>
      </c>
    </row>
    <row r="13" customFormat="false" ht="15" hidden="false" customHeight="false" outlineLevel="0" collapsed="false">
      <c r="A13" s="1" t="n">
        <v>24</v>
      </c>
      <c r="B13" s="1" t="s">
        <v>184</v>
      </c>
    </row>
    <row r="14" customFormat="false" ht="15" hidden="false" customHeight="false" outlineLevel="0" collapsed="false">
      <c r="A14" s="1" t="n">
        <v>25</v>
      </c>
      <c r="D14" s="1" t="s">
        <v>185</v>
      </c>
    </row>
    <row r="15" customFormat="false" ht="15" hidden="false" customHeight="false" outlineLevel="0" collapsed="false">
      <c r="A15" s="1" t="n">
        <v>26</v>
      </c>
      <c r="C15" s="1" t="s">
        <v>186</v>
      </c>
      <c r="D15" s="1" t="s">
        <v>187</v>
      </c>
    </row>
    <row r="16" customFormat="false" ht="15" hidden="false" customHeight="false" outlineLevel="0" collapsed="false">
      <c r="A16" s="1" t="n">
        <v>27</v>
      </c>
      <c r="B16" s="1" t="s">
        <v>188</v>
      </c>
    </row>
    <row r="17" customFormat="false" ht="15" hidden="false" customHeight="false" outlineLevel="0" collapsed="false">
      <c r="A17" s="1" t="n">
        <v>28</v>
      </c>
      <c r="D17" s="1" t="s">
        <v>189</v>
      </c>
    </row>
    <row r="18" customFormat="false" ht="15" hidden="false" customHeight="false" outlineLevel="0" collapsed="false">
      <c r="A18" s="1" t="n">
        <v>29</v>
      </c>
      <c r="D18" s="1" t="s">
        <v>190</v>
      </c>
    </row>
    <row r="19" customFormat="false" ht="15" hidden="false" customHeight="false" outlineLevel="0" collapsed="false">
      <c r="A19" s="1" t="n">
        <v>30</v>
      </c>
      <c r="C19" s="1" t="s">
        <v>191</v>
      </c>
      <c r="D19" s="1" t="s">
        <v>192</v>
      </c>
    </row>
    <row r="20" customFormat="false" ht="15" hidden="false" customHeight="false" outlineLevel="0" collapsed="false">
      <c r="A20" s="1" t="n">
        <v>31</v>
      </c>
      <c r="D20" s="1" t="s">
        <v>193</v>
      </c>
    </row>
    <row r="21" customFormat="false" ht="15" hidden="false" customHeight="false" outlineLevel="0" collapsed="false">
      <c r="A21" s="1" t="n">
        <v>32</v>
      </c>
      <c r="D21" s="1" t="s">
        <v>194</v>
      </c>
    </row>
    <row r="22" customFormat="false" ht="15" hidden="false" customHeight="false" outlineLevel="0" collapsed="false">
      <c r="A22" s="1" t="n">
        <v>33</v>
      </c>
      <c r="C22" s="1" t="s">
        <v>195</v>
      </c>
      <c r="D22" s="1" t="s">
        <v>196</v>
      </c>
    </row>
    <row r="23" customFormat="false" ht="15" hidden="false" customHeight="false" outlineLevel="0" collapsed="false">
      <c r="A23" s="1" t="n">
        <v>34</v>
      </c>
      <c r="C23" s="1" t="s">
        <v>197</v>
      </c>
      <c r="D23" s="1" t="s">
        <v>198</v>
      </c>
    </row>
    <row r="24" customFormat="false" ht="15" hidden="false" customHeight="false" outlineLevel="0" collapsed="false">
      <c r="A24" s="1" t="n">
        <v>35</v>
      </c>
      <c r="D24" s="1" t="s">
        <v>199</v>
      </c>
    </row>
    <row r="25" customFormat="false" ht="15" hidden="false" customHeight="false" outlineLevel="0" collapsed="false">
      <c r="A25" s="1" t="n">
        <v>36</v>
      </c>
      <c r="C25" s="1" t="s">
        <v>200</v>
      </c>
      <c r="D25" s="1" t="s">
        <v>201</v>
      </c>
    </row>
    <row r="26" customFormat="false" ht="15" hidden="false" customHeight="false" outlineLevel="0" collapsed="false">
      <c r="A26" s="1" t="n">
        <v>37</v>
      </c>
      <c r="D26" s="1" t="s">
        <v>202</v>
      </c>
    </row>
    <row r="27" customFormat="false" ht="15" hidden="false" customHeight="false" outlineLevel="0" collapsed="false">
      <c r="A27" s="1" t="n">
        <v>38</v>
      </c>
      <c r="D27" s="1" t="s">
        <v>203</v>
      </c>
    </row>
    <row r="28" customFormat="false" ht="15" hidden="false" customHeight="false" outlineLevel="0" collapsed="false">
      <c r="A28" s="1" t="n">
        <v>39</v>
      </c>
      <c r="B28" s="1" t="s">
        <v>204</v>
      </c>
    </row>
    <row r="29" customFormat="false" ht="15" hidden="false" customHeight="false" outlineLevel="0" collapsed="false">
      <c r="A29" s="1" t="n">
        <v>40</v>
      </c>
      <c r="D29" s="1" t="s">
        <v>205</v>
      </c>
    </row>
    <row r="30" customFormat="false" ht="15" hidden="false" customHeight="false" outlineLevel="0" collapsed="false">
      <c r="A30" s="1" t="n">
        <v>41</v>
      </c>
      <c r="D30" s="1" t="s">
        <v>206</v>
      </c>
    </row>
    <row r="31" customFormat="false" ht="15" hidden="false" customHeight="false" outlineLevel="0" collapsed="false">
      <c r="A31" s="1" t="n">
        <v>42</v>
      </c>
      <c r="D31" s="1" t="s">
        <v>207</v>
      </c>
    </row>
    <row r="32" customFormat="false" ht="15" hidden="false" customHeight="false" outlineLevel="0" collapsed="false">
      <c r="A32" s="1" t="n">
        <v>43</v>
      </c>
      <c r="D32" s="1" t="s">
        <v>208</v>
      </c>
    </row>
    <row r="33" customFormat="false" ht="13.8" hidden="false" customHeight="false" outlineLevel="0" collapsed="false">
      <c r="A33" s="1" t="n">
        <v>44</v>
      </c>
      <c r="C33" s="1" t="s">
        <v>209</v>
      </c>
      <c r="D33" s="1" t="s">
        <v>210</v>
      </c>
    </row>
    <row r="34" customFormat="false" ht="15" hidden="false" customHeight="false" outlineLevel="0" collapsed="false">
      <c r="A34" s="1" t="n">
        <v>45</v>
      </c>
      <c r="D34" s="1" t="s">
        <v>211</v>
      </c>
    </row>
    <row r="35" customFormat="false" ht="15" hidden="false" customHeight="false" outlineLevel="0" collapsed="false">
      <c r="A35" s="1" t="n">
        <v>46</v>
      </c>
      <c r="C35" s="1" t="s">
        <v>212</v>
      </c>
      <c r="D35" s="1" t="s">
        <v>213</v>
      </c>
    </row>
    <row r="36" customFormat="false" ht="15" hidden="false" customHeight="false" outlineLevel="0" collapsed="false">
      <c r="A36" s="1" t="n">
        <v>47</v>
      </c>
      <c r="D36" s="1" t="s">
        <v>214</v>
      </c>
    </row>
    <row r="37" customFormat="false" ht="15" hidden="false" customHeight="false" outlineLevel="0" collapsed="false">
      <c r="A37" s="1" t="n">
        <v>48</v>
      </c>
      <c r="D37" s="1" t="s">
        <v>215</v>
      </c>
    </row>
    <row r="38" customFormat="false" ht="15" hidden="false" customHeight="false" outlineLevel="0" collapsed="false">
      <c r="A38" s="1" t="n">
        <v>49</v>
      </c>
      <c r="D38" s="1" t="s">
        <v>216</v>
      </c>
    </row>
    <row r="39" customFormat="false" ht="15" hidden="false" customHeight="false" outlineLevel="0" collapsed="false">
      <c r="A39" s="1" t="n">
        <v>50</v>
      </c>
      <c r="D39" s="1" t="s">
        <v>217</v>
      </c>
    </row>
    <row r="40" customFormat="false" ht="15" hidden="false" customHeight="false" outlineLevel="0" collapsed="false">
      <c r="A40" s="1" t="n">
        <v>51</v>
      </c>
      <c r="D40" s="1" t="s">
        <v>218</v>
      </c>
    </row>
    <row r="41" customFormat="false" ht="15" hidden="false" customHeight="false" outlineLevel="0" collapsed="false">
      <c r="A41" s="1" t="n">
        <v>52</v>
      </c>
      <c r="D41" s="1" t="s">
        <v>219</v>
      </c>
    </row>
    <row r="42" customFormat="false" ht="15" hidden="false" customHeight="false" outlineLevel="0" collapsed="false">
      <c r="A42" s="1" t="n">
        <v>53</v>
      </c>
      <c r="D42" s="1" t="s">
        <v>220</v>
      </c>
    </row>
    <row r="43" customFormat="false" ht="15" hidden="false" customHeight="false" outlineLevel="0" collapsed="false">
      <c r="A43" s="1" t="n">
        <v>54</v>
      </c>
      <c r="B43" s="1" t="s">
        <v>221</v>
      </c>
    </row>
    <row r="44" customFormat="false" ht="15" hidden="false" customHeight="false" outlineLevel="0" collapsed="false">
      <c r="A44" s="1" t="n">
        <v>55</v>
      </c>
      <c r="E44" s="1" t="s">
        <v>222</v>
      </c>
    </row>
    <row r="45" customFormat="false" ht="15" hidden="false" customHeight="false" outlineLevel="0" collapsed="false">
      <c r="A45" s="1" t="n">
        <v>56</v>
      </c>
      <c r="C45" s="1" t="s">
        <v>223</v>
      </c>
      <c r="D45" s="1" t="s">
        <v>224</v>
      </c>
    </row>
    <row r="46" customFormat="false" ht="15" hidden="false" customHeight="false" outlineLevel="0" collapsed="false">
      <c r="A46" s="1" t="n">
        <v>57</v>
      </c>
      <c r="D46" s="1" t="s">
        <v>225</v>
      </c>
      <c r="F46" s="1" t="s">
        <v>226</v>
      </c>
    </row>
    <row r="47" customFormat="false" ht="15" hidden="false" customHeight="false" outlineLevel="0" collapsed="false">
      <c r="A47" s="1" t="n">
        <v>58</v>
      </c>
      <c r="D47" s="1" t="s">
        <v>227</v>
      </c>
    </row>
    <row r="48" customFormat="false" ht="15" hidden="false" customHeight="false" outlineLevel="0" collapsed="false">
      <c r="A48" s="1" t="n">
        <v>59</v>
      </c>
      <c r="D48" s="1" t="s">
        <v>228</v>
      </c>
    </row>
    <row r="49" customFormat="false" ht="15" hidden="false" customHeight="false" outlineLevel="0" collapsed="false">
      <c r="A49" s="1" t="n">
        <v>60</v>
      </c>
      <c r="D49" s="1" t="s">
        <v>229</v>
      </c>
    </row>
    <row r="50" customFormat="false" ht="15" hidden="false" customHeight="false" outlineLevel="0" collapsed="false">
      <c r="A50" s="1" t="n">
        <v>61</v>
      </c>
      <c r="F50" s="1" t="s">
        <v>230</v>
      </c>
    </row>
    <row r="51" customFormat="false" ht="15" hidden="false" customHeight="false" outlineLevel="0" collapsed="false">
      <c r="A51" s="1" t="n">
        <v>63</v>
      </c>
      <c r="B51" s="1" t="s">
        <v>231</v>
      </c>
    </row>
    <row r="52" customFormat="false" ht="15" hidden="false" customHeight="false" outlineLevel="0" collapsed="false">
      <c r="A52" s="1" t="n">
        <v>64</v>
      </c>
      <c r="B52" s="1" t="s">
        <v>232</v>
      </c>
    </row>
    <row r="53" customFormat="false" ht="15" hidden="false" customHeight="false" outlineLevel="0" collapsed="false">
      <c r="A53" s="1" t="n">
        <v>65</v>
      </c>
      <c r="B53" s="1" t="s">
        <v>233</v>
      </c>
    </row>
    <row r="54" customFormat="false" ht="15" hidden="false" customHeight="false" outlineLevel="0" collapsed="false">
      <c r="A54" s="1" t="n">
        <v>66</v>
      </c>
      <c r="B54" s="1" t="s">
        <v>234</v>
      </c>
    </row>
    <row r="55" customFormat="false" ht="15" hidden="false" customHeight="false" outlineLevel="0" collapsed="false">
      <c r="A55" s="1" t="n">
        <v>67</v>
      </c>
      <c r="C55" s="1" t="s">
        <v>235</v>
      </c>
      <c r="D55" s="1" t="s">
        <v>236</v>
      </c>
    </row>
    <row r="56" customFormat="false" ht="15" hidden="false" customHeight="false" outlineLevel="0" collapsed="false">
      <c r="A56" s="1" t="n">
        <v>68</v>
      </c>
      <c r="C56" s="1" t="s">
        <v>237</v>
      </c>
      <c r="D56" s="1" t="s">
        <v>238</v>
      </c>
    </row>
    <row r="57" customFormat="false" ht="15" hidden="false" customHeight="false" outlineLevel="0" collapsed="false">
      <c r="A57" s="1" t="n">
        <v>69</v>
      </c>
      <c r="D57" s="1" t="s">
        <v>239</v>
      </c>
    </row>
    <row r="58" customFormat="false" ht="15" hidden="false" customHeight="false" outlineLevel="0" collapsed="false">
      <c r="A58" s="1" t="n">
        <v>70</v>
      </c>
      <c r="B58" s="1" t="s">
        <v>240</v>
      </c>
      <c r="E58" s="1" t="s">
        <v>241</v>
      </c>
    </row>
    <row r="59" customFormat="false" ht="15" hidden="false" customHeight="false" outlineLevel="0" collapsed="false">
      <c r="A59" s="1" t="n">
        <v>71</v>
      </c>
      <c r="D59" s="1" t="s">
        <v>242</v>
      </c>
    </row>
    <row r="60" customFormat="false" ht="15" hidden="false" customHeight="false" outlineLevel="0" collapsed="false">
      <c r="A60" s="1" t="n">
        <v>72</v>
      </c>
      <c r="B60" s="1" t="s">
        <v>243</v>
      </c>
    </row>
    <row r="61" customFormat="false" ht="15" hidden="false" customHeight="false" outlineLevel="0" collapsed="false">
      <c r="A61" s="1" t="n">
        <v>73</v>
      </c>
      <c r="C61" s="1" t="s">
        <v>244</v>
      </c>
      <c r="D61" s="1" t="s">
        <v>245</v>
      </c>
    </row>
    <row r="62" customFormat="false" ht="15" hidden="false" customHeight="false" outlineLevel="0" collapsed="false">
      <c r="A62" s="1" t="n">
        <v>75</v>
      </c>
      <c r="D62" s="1" t="s">
        <v>246</v>
      </c>
    </row>
    <row r="63" customFormat="false" ht="15" hidden="false" customHeight="false" outlineLevel="0" collapsed="false">
      <c r="A63" s="1" t="n">
        <v>76</v>
      </c>
      <c r="D63" s="1" t="s">
        <v>247</v>
      </c>
    </row>
    <row r="64" customFormat="false" ht="15" hidden="false" customHeight="false" outlineLevel="0" collapsed="false">
      <c r="A64" s="1" t="n">
        <v>77</v>
      </c>
      <c r="E64" s="1" t="s">
        <v>248</v>
      </c>
    </row>
    <row r="65" customFormat="false" ht="15" hidden="false" customHeight="false" outlineLevel="0" collapsed="false">
      <c r="A65" s="1" t="n">
        <v>78</v>
      </c>
      <c r="D65" s="1" t="s">
        <v>249</v>
      </c>
    </row>
    <row r="66" customFormat="false" ht="15" hidden="false" customHeight="false" outlineLevel="0" collapsed="false">
      <c r="A66" s="1" t="n">
        <v>79</v>
      </c>
      <c r="D66" s="1" t="s">
        <v>250</v>
      </c>
    </row>
    <row r="67" customFormat="false" ht="15" hidden="false" customHeight="false" outlineLevel="0" collapsed="false">
      <c r="A67" s="1" t="n">
        <v>80</v>
      </c>
      <c r="D67" s="1" t="s">
        <v>251</v>
      </c>
    </row>
    <row r="68" customFormat="false" ht="15" hidden="false" customHeight="false" outlineLevel="0" collapsed="false">
      <c r="A68" s="1" t="n">
        <v>81</v>
      </c>
      <c r="D68" s="1" t="s">
        <v>252</v>
      </c>
    </row>
    <row r="69" customFormat="false" ht="15" hidden="false" customHeight="false" outlineLevel="0" collapsed="false">
      <c r="A69" s="1" t="n">
        <v>82</v>
      </c>
      <c r="D69" s="1" t="s">
        <v>253</v>
      </c>
    </row>
    <row r="70" customFormat="false" ht="15" hidden="false" customHeight="false" outlineLevel="0" collapsed="false">
      <c r="A70" s="1" t="n">
        <v>83</v>
      </c>
      <c r="C70" s="1" t="s">
        <v>254</v>
      </c>
      <c r="D70" s="1" t="s">
        <v>255</v>
      </c>
    </row>
    <row r="71" customFormat="false" ht="15" hidden="false" customHeight="false" outlineLevel="0" collapsed="false">
      <c r="A71" s="1" t="n">
        <v>84</v>
      </c>
      <c r="E71" s="1" t="s">
        <v>256</v>
      </c>
    </row>
    <row r="72" customFormat="false" ht="15" hidden="false" customHeight="false" outlineLevel="0" collapsed="false">
      <c r="A72" s="1" t="n">
        <v>85</v>
      </c>
      <c r="D72" s="1" t="s">
        <v>257</v>
      </c>
    </row>
    <row r="73" customFormat="false" ht="15" hidden="false" customHeight="false" outlineLevel="0" collapsed="false">
      <c r="A73" s="1" t="n">
        <v>86</v>
      </c>
      <c r="C73" s="1" t="s">
        <v>258</v>
      </c>
      <c r="D73" s="1" t="s">
        <v>259</v>
      </c>
    </row>
    <row r="74" customFormat="false" ht="15" hidden="false" customHeight="false" outlineLevel="0" collapsed="false">
      <c r="A74" s="1" t="n">
        <v>87</v>
      </c>
      <c r="D74" s="1" t="s">
        <v>260</v>
      </c>
    </row>
    <row r="75" customFormat="false" ht="15" hidden="false" customHeight="false" outlineLevel="0" collapsed="false">
      <c r="A75" s="1" t="n">
        <v>88</v>
      </c>
      <c r="D75" s="1" t="s">
        <v>261</v>
      </c>
    </row>
    <row r="76" customFormat="false" ht="15" hidden="false" customHeight="false" outlineLevel="0" collapsed="false">
      <c r="A76" s="1" t="n">
        <v>89</v>
      </c>
      <c r="D76" s="1" t="s">
        <v>262</v>
      </c>
    </row>
    <row r="77" customFormat="false" ht="15" hidden="false" customHeight="false" outlineLevel="0" collapsed="false">
      <c r="A77" s="1" t="n">
        <v>90</v>
      </c>
      <c r="D77" s="1" t="s">
        <v>263</v>
      </c>
    </row>
    <row r="78" customFormat="false" ht="15" hidden="false" customHeight="false" outlineLevel="0" collapsed="false">
      <c r="A78" s="1" t="n">
        <v>91</v>
      </c>
      <c r="D78" s="1" t="s">
        <v>264</v>
      </c>
    </row>
    <row r="79" customFormat="false" ht="15" hidden="false" customHeight="false" outlineLevel="0" collapsed="false">
      <c r="A79" s="1" t="n">
        <v>92</v>
      </c>
      <c r="E79" s="1" t="s">
        <v>265</v>
      </c>
    </row>
    <row r="80" customFormat="false" ht="15" hidden="false" customHeight="false" outlineLevel="0" collapsed="false">
      <c r="A80" s="1" t="n">
        <v>93</v>
      </c>
      <c r="D80" s="1" t="s">
        <v>266</v>
      </c>
    </row>
    <row r="81" customFormat="false" ht="15" hidden="false" customHeight="false" outlineLevel="0" collapsed="false">
      <c r="A81" s="1" t="n">
        <v>94</v>
      </c>
      <c r="D81" s="1" t="s">
        <v>267</v>
      </c>
    </row>
    <row r="82" customFormat="false" ht="15" hidden="false" customHeight="false" outlineLevel="0" collapsed="false">
      <c r="A82" s="1" t="n">
        <v>96</v>
      </c>
      <c r="C82" s="1" t="s">
        <v>268</v>
      </c>
      <c r="D82" s="1" t="s">
        <v>269</v>
      </c>
    </row>
    <row r="83" customFormat="false" ht="15" hidden="false" customHeight="false" outlineLevel="0" collapsed="false">
      <c r="A83" s="1" t="n">
        <v>97</v>
      </c>
      <c r="B83" s="1" t="s">
        <v>270</v>
      </c>
    </row>
    <row r="84" customFormat="false" ht="15" hidden="false" customHeight="false" outlineLevel="0" collapsed="false">
      <c r="A84" s="1" t="n">
        <v>98</v>
      </c>
      <c r="D84" s="1" t="s">
        <v>271</v>
      </c>
    </row>
    <row r="85" customFormat="false" ht="15" hidden="false" customHeight="false" outlineLevel="0" collapsed="false">
      <c r="A85" s="1" t="n">
        <v>99</v>
      </c>
      <c r="D85" s="1" t="s">
        <v>272</v>
      </c>
      <c r="E85" s="1" t="s">
        <v>273</v>
      </c>
    </row>
    <row r="86" customFormat="false" ht="15" hidden="false" customHeight="false" outlineLevel="0" collapsed="false">
      <c r="A86" s="1" t="n">
        <v>100</v>
      </c>
      <c r="D86" s="1" t="s">
        <v>274</v>
      </c>
    </row>
    <row r="87" customFormat="false" ht="15" hidden="false" customHeight="false" outlineLevel="0" collapsed="false">
      <c r="A87" s="1" t="n">
        <v>101</v>
      </c>
      <c r="B87" s="1" t="s">
        <v>275</v>
      </c>
    </row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LibreOffice/7.6.6.3$Windows_X86_64 LibreOffice_project/d97b2716a9a4a2ce1391dee1765565ea469b0ae7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2026-09-25T08:15:24Z</dcterms:created>
  <dc:creator/>
  <dc:description/>
  <dc:language>en-GB</dc:language>
  <cp:lastModifiedBy/>
  <dcterms:modified xsi:type="dcterms:W3CDTF">2026-10-05T17:37:15Z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