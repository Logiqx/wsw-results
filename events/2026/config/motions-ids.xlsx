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\home\mike\projects\work\wsw-results\events\2026\config\"/>
    </mc:Choice>
  </mc:AlternateContent>
  <xr:revisionPtr revIDLastSave="0" documentId="13_ncr:1_{CDA0B88F-99CD-4B16-9EBC-2226B3933F2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motions" sheetId="1" r:id="rId1"/>
    <sheet name="scratch" sheetId="2" r:id="rId2"/>
  </sheets>
  <definedNames>
    <definedName name="_xlnm._FilterDatabase" localSheetId="0" hidden="1">motions!$A$1:$U$86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86" i="1" l="1"/>
  <c r="S85" i="1"/>
  <c r="S84" i="1"/>
  <c r="S83" i="1"/>
  <c r="S82" i="1"/>
  <c r="S81" i="1"/>
  <c r="S80" i="1"/>
  <c r="S79" i="1"/>
  <c r="S77" i="1"/>
  <c r="S76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U86" i="1"/>
  <c r="T86" i="1"/>
  <c r="R86" i="1"/>
  <c r="Q86" i="1"/>
  <c r="P86" i="1"/>
  <c r="N86" i="1"/>
  <c r="M86" i="1"/>
  <c r="U85" i="1"/>
  <c r="R85" i="1"/>
  <c r="Q85" i="1"/>
  <c r="P85" i="1"/>
  <c r="N85" i="1"/>
  <c r="T85" i="1" s="1"/>
  <c r="M85" i="1"/>
  <c r="U84" i="1"/>
  <c r="T84" i="1"/>
  <c r="R84" i="1"/>
  <c r="Q84" i="1"/>
  <c r="P84" i="1"/>
  <c r="N84" i="1"/>
  <c r="M84" i="1"/>
  <c r="U83" i="1"/>
  <c r="T83" i="1"/>
  <c r="R83" i="1"/>
  <c r="P83" i="1"/>
  <c r="N83" i="1"/>
  <c r="Q83" i="1" s="1"/>
  <c r="M83" i="1"/>
  <c r="U82" i="1"/>
  <c r="T82" i="1"/>
  <c r="Q82" i="1"/>
  <c r="P82" i="1"/>
  <c r="N82" i="1"/>
  <c r="M82" i="1"/>
  <c r="U81" i="1"/>
  <c r="T81" i="1"/>
  <c r="R81" i="1"/>
  <c r="Q81" i="1"/>
  <c r="P81" i="1"/>
  <c r="N81" i="1"/>
  <c r="M81" i="1"/>
  <c r="U80" i="1"/>
  <c r="T80" i="1"/>
  <c r="R80" i="1"/>
  <c r="Q80" i="1"/>
  <c r="O80" i="1"/>
  <c r="P80" i="1" s="1"/>
  <c r="N80" i="1"/>
  <c r="M80" i="1"/>
  <c r="U79" i="1"/>
  <c r="R79" i="1"/>
  <c r="Q79" i="1"/>
  <c r="P79" i="1"/>
  <c r="N79" i="1"/>
  <c r="T79" i="1" s="1"/>
  <c r="M79" i="1"/>
  <c r="U78" i="1"/>
  <c r="T78" i="1"/>
  <c r="R78" i="1"/>
  <c r="Q78" i="1"/>
  <c r="O78" i="1"/>
  <c r="S78" i="1" s="1"/>
  <c r="N78" i="1"/>
  <c r="M78" i="1"/>
  <c r="U77" i="1"/>
  <c r="T77" i="1"/>
  <c r="R77" i="1"/>
  <c r="Q77" i="1"/>
  <c r="P77" i="1"/>
  <c r="N77" i="1"/>
  <c r="M77" i="1"/>
  <c r="U76" i="1"/>
  <c r="T76" i="1"/>
  <c r="R76" i="1"/>
  <c r="Q76" i="1"/>
  <c r="P76" i="1"/>
  <c r="N76" i="1"/>
  <c r="M76" i="1"/>
  <c r="U75" i="1"/>
  <c r="T75" i="1"/>
  <c r="R75" i="1"/>
  <c r="Q75" i="1"/>
  <c r="O75" i="1"/>
  <c r="P75" i="1" s="1"/>
  <c r="N75" i="1"/>
  <c r="M75" i="1"/>
  <c r="U74" i="1"/>
  <c r="T74" i="1"/>
  <c r="R74" i="1"/>
  <c r="Q74" i="1"/>
  <c r="P74" i="1"/>
  <c r="N74" i="1"/>
  <c r="M74" i="1"/>
  <c r="U73" i="1"/>
  <c r="T73" i="1"/>
  <c r="Q73" i="1"/>
  <c r="P73" i="1"/>
  <c r="N73" i="1"/>
  <c r="M73" i="1"/>
  <c r="U72" i="1"/>
  <c r="T72" i="1"/>
  <c r="R72" i="1"/>
  <c r="Q72" i="1"/>
  <c r="P72" i="1"/>
  <c r="N72" i="1"/>
  <c r="M72" i="1"/>
  <c r="U71" i="1"/>
  <c r="R71" i="1"/>
  <c r="Q71" i="1"/>
  <c r="P71" i="1"/>
  <c r="N71" i="1"/>
  <c r="T71" i="1" s="1"/>
  <c r="M71" i="1"/>
  <c r="U70" i="1"/>
  <c r="T70" i="1"/>
  <c r="Q70" i="1"/>
  <c r="P70" i="1"/>
  <c r="N70" i="1"/>
  <c r="M70" i="1"/>
  <c r="U69" i="1"/>
  <c r="T69" i="1"/>
  <c r="R69" i="1"/>
  <c r="Q69" i="1"/>
  <c r="P69" i="1"/>
  <c r="N69" i="1"/>
  <c r="M69" i="1"/>
  <c r="U68" i="1"/>
  <c r="T68" i="1"/>
  <c r="R68" i="1"/>
  <c r="Q68" i="1"/>
  <c r="P68" i="1"/>
  <c r="N68" i="1"/>
  <c r="M68" i="1"/>
  <c r="U67" i="1"/>
  <c r="T67" i="1"/>
  <c r="R67" i="1"/>
  <c r="Q67" i="1"/>
  <c r="P67" i="1"/>
  <c r="N67" i="1"/>
  <c r="M67" i="1"/>
  <c r="U66" i="1"/>
  <c r="T66" i="1"/>
  <c r="R66" i="1"/>
  <c r="Q66" i="1"/>
  <c r="P66" i="1"/>
  <c r="N66" i="1"/>
  <c r="M66" i="1"/>
  <c r="U65" i="1"/>
  <c r="T65" i="1"/>
  <c r="R65" i="1"/>
  <c r="Q65" i="1"/>
  <c r="P65" i="1"/>
  <c r="N65" i="1"/>
  <c r="M65" i="1"/>
  <c r="U64" i="1"/>
  <c r="R64" i="1"/>
  <c r="Q64" i="1"/>
  <c r="P64" i="1"/>
  <c r="N64" i="1"/>
  <c r="T64" i="1" s="1"/>
  <c r="M64" i="1"/>
  <c r="U63" i="1"/>
  <c r="T63" i="1"/>
  <c r="R63" i="1"/>
  <c r="Q63" i="1"/>
  <c r="P63" i="1"/>
  <c r="N63" i="1"/>
  <c r="M63" i="1"/>
  <c r="U62" i="1"/>
  <c r="T62" i="1"/>
  <c r="R62" i="1"/>
  <c r="Q62" i="1"/>
  <c r="P62" i="1"/>
  <c r="N62" i="1"/>
  <c r="M62" i="1"/>
  <c r="U61" i="1"/>
  <c r="T61" i="1"/>
  <c r="Q61" i="1"/>
  <c r="P61" i="1"/>
  <c r="N61" i="1"/>
  <c r="M61" i="1"/>
  <c r="U60" i="1"/>
  <c r="T60" i="1"/>
  <c r="R60" i="1"/>
  <c r="P60" i="1"/>
  <c r="N60" i="1"/>
  <c r="Q60" i="1" s="1"/>
  <c r="M60" i="1"/>
  <c r="U59" i="1"/>
  <c r="T59" i="1"/>
  <c r="R59" i="1"/>
  <c r="Q59" i="1"/>
  <c r="O59" i="1"/>
  <c r="P59" i="1" s="1"/>
  <c r="N59" i="1"/>
  <c r="M59" i="1"/>
  <c r="U58" i="1"/>
  <c r="R58" i="1"/>
  <c r="P58" i="1"/>
  <c r="N58" i="1"/>
  <c r="T58" i="1" s="1"/>
  <c r="M58" i="1"/>
  <c r="U57" i="1"/>
  <c r="T57" i="1"/>
  <c r="R57" i="1"/>
  <c r="Q57" i="1"/>
  <c r="P57" i="1"/>
  <c r="N57" i="1"/>
  <c r="M57" i="1"/>
  <c r="U56" i="1"/>
  <c r="T56" i="1"/>
  <c r="Q56" i="1"/>
  <c r="P56" i="1"/>
  <c r="N56" i="1"/>
  <c r="M56" i="1"/>
  <c r="U55" i="1"/>
  <c r="T55" i="1"/>
  <c r="Q55" i="1"/>
  <c r="P55" i="1"/>
  <c r="N55" i="1"/>
  <c r="M55" i="1"/>
  <c r="U54" i="1"/>
  <c r="T54" i="1"/>
  <c r="R54" i="1"/>
  <c r="P54" i="1"/>
  <c r="N54" i="1"/>
  <c r="Q54" i="1" s="1"/>
  <c r="M54" i="1"/>
  <c r="U53" i="1"/>
  <c r="T53" i="1"/>
  <c r="R53" i="1"/>
  <c r="P53" i="1"/>
  <c r="N53" i="1"/>
  <c r="Q53" i="1" s="1"/>
  <c r="M53" i="1"/>
  <c r="U52" i="1"/>
  <c r="T52" i="1"/>
  <c r="R52" i="1"/>
  <c r="P52" i="1"/>
  <c r="N52" i="1"/>
  <c r="Q52" i="1" s="1"/>
  <c r="M52" i="1"/>
  <c r="U51" i="1"/>
  <c r="T51" i="1"/>
  <c r="R51" i="1"/>
  <c r="P51" i="1"/>
  <c r="N51" i="1"/>
  <c r="Q51" i="1" s="1"/>
  <c r="M51" i="1"/>
  <c r="T50" i="1"/>
  <c r="R50" i="1"/>
  <c r="Q50" i="1"/>
  <c r="P50" i="1"/>
  <c r="N50" i="1"/>
  <c r="U50" i="1" s="1"/>
  <c r="M50" i="1"/>
  <c r="U49" i="1"/>
  <c r="T49" i="1"/>
  <c r="R49" i="1"/>
  <c r="Q49" i="1"/>
  <c r="P49" i="1"/>
  <c r="N49" i="1"/>
  <c r="M49" i="1"/>
  <c r="U48" i="1"/>
  <c r="T48" i="1"/>
  <c r="R48" i="1"/>
  <c r="Q48" i="1"/>
  <c r="P48" i="1"/>
  <c r="N48" i="1"/>
  <c r="M48" i="1"/>
  <c r="U47" i="1"/>
  <c r="T47" i="1"/>
  <c r="R47" i="1"/>
  <c r="Q47" i="1"/>
  <c r="P47" i="1"/>
  <c r="N47" i="1"/>
  <c r="M47" i="1"/>
  <c r="T46" i="1"/>
  <c r="R46" i="1"/>
  <c r="Q46" i="1"/>
  <c r="P46" i="1"/>
  <c r="N46" i="1"/>
  <c r="U46" i="1" s="1"/>
  <c r="M46" i="1"/>
  <c r="U45" i="1"/>
  <c r="T45" i="1"/>
  <c r="Q45" i="1"/>
  <c r="P45" i="1"/>
  <c r="N45" i="1"/>
  <c r="M45" i="1"/>
  <c r="U44" i="1"/>
  <c r="R44" i="1"/>
  <c r="Q44" i="1"/>
  <c r="O44" i="1"/>
  <c r="N44" i="1"/>
  <c r="M44" i="1"/>
  <c r="U43" i="1"/>
  <c r="T43" i="1"/>
  <c r="R43" i="1"/>
  <c r="P43" i="1"/>
  <c r="N43" i="1"/>
  <c r="Q43" i="1" s="1"/>
  <c r="M43" i="1"/>
  <c r="U42" i="1"/>
  <c r="T42" i="1"/>
  <c r="R42" i="1"/>
  <c r="Q42" i="1"/>
  <c r="P42" i="1"/>
  <c r="N42" i="1"/>
  <c r="M42" i="1"/>
  <c r="U41" i="1"/>
  <c r="T41" i="1"/>
  <c r="R41" i="1"/>
  <c r="Q41" i="1"/>
  <c r="P41" i="1"/>
  <c r="N41" i="1"/>
  <c r="M41" i="1"/>
  <c r="U40" i="1"/>
  <c r="T40" i="1"/>
  <c r="R40" i="1"/>
  <c r="Q40" i="1"/>
  <c r="P40" i="1"/>
  <c r="N40" i="1"/>
  <c r="M40" i="1"/>
  <c r="U39" i="1"/>
  <c r="T39" i="1"/>
  <c r="R39" i="1"/>
  <c r="Q39" i="1"/>
  <c r="P39" i="1"/>
  <c r="N39" i="1"/>
  <c r="M39" i="1"/>
  <c r="U38" i="1"/>
  <c r="T38" i="1"/>
  <c r="R38" i="1"/>
  <c r="Q38" i="1"/>
  <c r="P38" i="1"/>
  <c r="N38" i="1"/>
  <c r="M38" i="1"/>
  <c r="U37" i="1"/>
  <c r="T37" i="1"/>
  <c r="R37" i="1"/>
  <c r="Q37" i="1"/>
  <c r="P37" i="1"/>
  <c r="N37" i="1"/>
  <c r="M37" i="1"/>
  <c r="U36" i="1"/>
  <c r="T36" i="1"/>
  <c r="R36" i="1"/>
  <c r="Q36" i="1"/>
  <c r="O36" i="1"/>
  <c r="P36" i="1" s="1"/>
  <c r="N36" i="1"/>
  <c r="M36" i="1"/>
  <c r="U35" i="1"/>
  <c r="T35" i="1"/>
  <c r="Q35" i="1"/>
  <c r="P35" i="1"/>
  <c r="N35" i="1"/>
  <c r="M35" i="1"/>
  <c r="U34" i="1"/>
  <c r="T34" i="1"/>
  <c r="R34" i="1"/>
  <c r="Q34" i="1"/>
  <c r="P34" i="1"/>
  <c r="N34" i="1"/>
  <c r="M34" i="1"/>
  <c r="U33" i="1"/>
  <c r="T33" i="1"/>
  <c r="Q33" i="1"/>
  <c r="P33" i="1"/>
  <c r="N33" i="1"/>
  <c r="M33" i="1"/>
  <c r="U32" i="1"/>
  <c r="T32" i="1"/>
  <c r="R32" i="1"/>
  <c r="Q32" i="1"/>
  <c r="P32" i="1"/>
  <c r="N32" i="1"/>
  <c r="M32" i="1"/>
  <c r="U31" i="1"/>
  <c r="T31" i="1"/>
  <c r="R31" i="1"/>
  <c r="Q31" i="1"/>
  <c r="P31" i="1"/>
  <c r="N31" i="1"/>
  <c r="M31" i="1"/>
  <c r="U30" i="1"/>
  <c r="T30" i="1"/>
  <c r="R30" i="1"/>
  <c r="Q30" i="1"/>
  <c r="P30" i="1"/>
  <c r="N30" i="1"/>
  <c r="M30" i="1"/>
  <c r="U29" i="1"/>
  <c r="T29" i="1"/>
  <c r="R29" i="1"/>
  <c r="Q29" i="1"/>
  <c r="P29" i="1"/>
  <c r="N29" i="1"/>
  <c r="M29" i="1"/>
  <c r="U28" i="1"/>
  <c r="T28" i="1"/>
  <c r="R28" i="1"/>
  <c r="O28" i="1"/>
  <c r="N28" i="1"/>
  <c r="M28" i="1"/>
  <c r="U27" i="1"/>
  <c r="T27" i="1"/>
  <c r="R27" i="1"/>
  <c r="Q27" i="1"/>
  <c r="P27" i="1"/>
  <c r="N27" i="1"/>
  <c r="M27" i="1"/>
  <c r="U26" i="1"/>
  <c r="T26" i="1"/>
  <c r="R26" i="1"/>
  <c r="Q26" i="1"/>
  <c r="P26" i="1"/>
  <c r="N26" i="1"/>
  <c r="M26" i="1"/>
  <c r="U25" i="1"/>
  <c r="T25" i="1"/>
  <c r="Q25" i="1"/>
  <c r="P25" i="1"/>
  <c r="N25" i="1"/>
  <c r="M25" i="1"/>
  <c r="U24" i="1"/>
  <c r="T24" i="1"/>
  <c r="R24" i="1"/>
  <c r="Q24" i="1"/>
  <c r="P24" i="1"/>
  <c r="N24" i="1"/>
  <c r="M24" i="1"/>
  <c r="U23" i="1"/>
  <c r="T23" i="1"/>
  <c r="Q23" i="1"/>
  <c r="P23" i="1"/>
  <c r="N23" i="1"/>
  <c r="M23" i="1"/>
  <c r="U22" i="1"/>
  <c r="T22" i="1"/>
  <c r="Q22" i="1"/>
  <c r="P22" i="1"/>
  <c r="N22" i="1"/>
  <c r="M22" i="1"/>
  <c r="U21" i="1"/>
  <c r="T21" i="1"/>
  <c r="R21" i="1"/>
  <c r="Q21" i="1"/>
  <c r="P21" i="1"/>
  <c r="N21" i="1"/>
  <c r="M21" i="1"/>
  <c r="U20" i="1"/>
  <c r="T20" i="1"/>
  <c r="R20" i="1"/>
  <c r="Q20" i="1"/>
  <c r="P20" i="1"/>
  <c r="N20" i="1"/>
  <c r="M20" i="1"/>
  <c r="U19" i="1"/>
  <c r="T19" i="1"/>
  <c r="Q19" i="1"/>
  <c r="P19" i="1"/>
  <c r="N19" i="1"/>
  <c r="M19" i="1"/>
  <c r="U18" i="1"/>
  <c r="T18" i="1"/>
  <c r="R18" i="1"/>
  <c r="Q18" i="1"/>
  <c r="P18" i="1"/>
  <c r="N18" i="1"/>
  <c r="M18" i="1"/>
  <c r="U17" i="1"/>
  <c r="T17" i="1"/>
  <c r="R17" i="1"/>
  <c r="Q17" i="1"/>
  <c r="P17" i="1"/>
  <c r="N17" i="1"/>
  <c r="M17" i="1"/>
  <c r="U16" i="1"/>
  <c r="T16" i="1"/>
  <c r="R16" i="1"/>
  <c r="P16" i="1"/>
  <c r="N16" i="1"/>
  <c r="Q16" i="1" s="1"/>
  <c r="M16" i="1"/>
  <c r="U15" i="1"/>
  <c r="T15" i="1"/>
  <c r="Q15" i="1"/>
  <c r="P15" i="1"/>
  <c r="N15" i="1"/>
  <c r="M15" i="1"/>
  <c r="U14" i="1"/>
  <c r="T14" i="1"/>
  <c r="R14" i="1"/>
  <c r="Q14" i="1"/>
  <c r="P14" i="1"/>
  <c r="N14" i="1"/>
  <c r="M14" i="1"/>
  <c r="U13" i="1"/>
  <c r="T13" i="1"/>
  <c r="R13" i="1"/>
  <c r="P13" i="1"/>
  <c r="N13" i="1"/>
  <c r="Q13" i="1" s="1"/>
  <c r="M13" i="1"/>
  <c r="U12" i="1"/>
  <c r="T12" i="1"/>
  <c r="R12" i="1"/>
  <c r="Q12" i="1"/>
  <c r="P12" i="1"/>
  <c r="N12" i="1"/>
  <c r="M12" i="1"/>
  <c r="U11" i="1"/>
  <c r="T11" i="1"/>
  <c r="Q11" i="1"/>
  <c r="P11" i="1"/>
  <c r="N11" i="1"/>
  <c r="R11" i="1" s="1"/>
  <c r="M11" i="1"/>
  <c r="U10" i="1"/>
  <c r="T10" i="1"/>
  <c r="R10" i="1"/>
  <c r="Q10" i="1"/>
  <c r="P10" i="1"/>
  <c r="N10" i="1"/>
  <c r="M10" i="1"/>
  <c r="U9" i="1"/>
  <c r="T9" i="1"/>
  <c r="R9" i="1"/>
  <c r="P9" i="1"/>
  <c r="N9" i="1"/>
  <c r="Q9" i="1" s="1"/>
  <c r="M9" i="1"/>
  <c r="U8" i="1"/>
  <c r="T8" i="1"/>
  <c r="R8" i="1"/>
  <c r="Q8" i="1"/>
  <c r="P8" i="1"/>
  <c r="N8" i="1"/>
  <c r="M8" i="1"/>
  <c r="U7" i="1"/>
  <c r="T7" i="1"/>
  <c r="Q7" i="1"/>
  <c r="P7" i="1"/>
  <c r="N7" i="1"/>
  <c r="R7" i="1" s="1"/>
  <c r="M7" i="1"/>
  <c r="U6" i="1"/>
  <c r="R6" i="1"/>
  <c r="Q6" i="1"/>
  <c r="P6" i="1"/>
  <c r="N6" i="1"/>
  <c r="T6" i="1" s="1"/>
  <c r="M6" i="1"/>
  <c r="U5" i="1"/>
  <c r="R5" i="1"/>
  <c r="Q5" i="1"/>
  <c r="P5" i="1"/>
  <c r="N5" i="1"/>
  <c r="T5" i="1" s="1"/>
  <c r="M5" i="1"/>
  <c r="U4" i="1"/>
  <c r="T4" i="1"/>
  <c r="Q4" i="1"/>
  <c r="P4" i="1"/>
  <c r="N4" i="1"/>
  <c r="M4" i="1"/>
  <c r="U3" i="1"/>
  <c r="T3" i="1"/>
  <c r="Q3" i="1"/>
  <c r="P3" i="1"/>
  <c r="N3" i="1"/>
  <c r="R3" i="1" s="1"/>
  <c r="M3" i="1"/>
  <c r="U2" i="1"/>
  <c r="T2" i="1"/>
  <c r="Q2" i="1"/>
  <c r="P2" i="1"/>
  <c r="N2" i="1"/>
  <c r="S75" i="1" l="1"/>
  <c r="S59" i="1"/>
  <c r="S36" i="1"/>
  <c r="P78" i="1"/>
  <c r="R22" i="1"/>
  <c r="R35" i="1"/>
  <c r="R4" i="1"/>
  <c r="R2" i="1"/>
  <c r="R82" i="1"/>
  <c r="R15" i="1"/>
  <c r="R23" i="1"/>
  <c r="R19" i="1"/>
  <c r="R25" i="1"/>
  <c r="Q28" i="1"/>
  <c r="T44" i="1"/>
  <c r="R33" i="1"/>
  <c r="R45" i="1"/>
  <c r="R55" i="1"/>
  <c r="R61" i="1"/>
  <c r="R73" i="1"/>
  <c r="P28" i="1"/>
  <c r="Q58" i="1"/>
  <c r="R56" i="1"/>
  <c r="R70" i="1"/>
  <c r="P44" i="1"/>
</calcChain>
</file>

<file path=xl/sharedStrings.xml><?xml version="1.0" encoding="utf-8"?>
<sst xmlns="http://schemas.openxmlformats.org/spreadsheetml/2006/main" count="900" uniqueCount="267">
  <si>
    <t>ID</t>
  </si>
  <si>
    <t>Title</t>
  </si>
  <si>
    <t>First Name</t>
  </si>
  <si>
    <t>Family Name</t>
  </si>
  <si>
    <t>Youth Weekend</t>
  </si>
  <si>
    <t>UKWA Member</t>
  </si>
  <si>
    <t>Entrants Own Motion Mini</t>
  </si>
  <si>
    <t>Motion for Wingboard</t>
  </si>
  <si>
    <t>Motion for Sailboard (foil)</t>
  </si>
  <si>
    <t>Motion for Sailboard (fin)</t>
  </si>
  <si>
    <t>Motion for Kiteboard</t>
  </si>
  <si>
    <t>Motion for Boat</t>
  </si>
  <si>
    <t>Diff</t>
  </si>
  <si>
    <t>Craft</t>
  </si>
  <si>
    <t>Motion ID</t>
  </si>
  <si>
    <t>Motion Label</t>
  </si>
  <si>
    <t>Mr</t>
  </si>
  <si>
    <t>Michael</t>
  </si>
  <si>
    <t>George</t>
  </si>
  <si>
    <t>YES</t>
  </si>
  <si>
    <t>Sailboard (Foil) Motion</t>
  </si>
  <si>
    <t>Sailboard (Fin) Motion</t>
  </si>
  <si>
    <t>Simon</t>
  </si>
  <si>
    <t>Pettifer</t>
  </si>
  <si>
    <t>Miss</t>
  </si>
  <si>
    <t>Jenna</t>
  </si>
  <si>
    <t>Gibson</t>
  </si>
  <si>
    <t>Stacey</t>
  </si>
  <si>
    <t>Vass</t>
  </si>
  <si>
    <t>Kiteboard Motion</t>
  </si>
  <si>
    <t>Ms</t>
  </si>
  <si>
    <t>Aya</t>
  </si>
  <si>
    <t>Eiffel</t>
  </si>
  <si>
    <t>Dylan</t>
  </si>
  <si>
    <t>Chick</t>
  </si>
  <si>
    <t>NO</t>
  </si>
  <si>
    <t>Richard</t>
  </si>
  <si>
    <t>Henderson</t>
  </si>
  <si>
    <t>Rod</t>
  </si>
  <si>
    <t>Dickinson</t>
  </si>
  <si>
    <t>Wingboard Motion</t>
  </si>
  <si>
    <t>Jean-Marc</t>
  </si>
  <si>
    <t>De Bruyne</t>
  </si>
  <si>
    <t>Dudley</t>
  </si>
  <si>
    <t>Ben</t>
  </si>
  <si>
    <t>Meyerhoff</t>
  </si>
  <si>
    <t>Jez</t>
  </si>
  <si>
    <t>Milne</t>
  </si>
  <si>
    <t>Mark</t>
  </si>
  <si>
    <t>Reeves</t>
  </si>
  <si>
    <t>Rob</t>
  </si>
  <si>
    <t>Longstaff</t>
  </si>
  <si>
    <t>Mrs</t>
  </si>
  <si>
    <t>Kate</t>
  </si>
  <si>
    <t>Rogers</t>
  </si>
  <si>
    <t>Barry</t>
  </si>
  <si>
    <t>Smith</t>
  </si>
  <si>
    <t>Crosby</t>
  </si>
  <si>
    <t>Peter</t>
  </si>
  <si>
    <t>Barker</t>
  </si>
  <si>
    <t>Scott</t>
  </si>
  <si>
    <t>Mayhew</t>
  </si>
  <si>
    <t>Nikolaos</t>
  </si>
  <si>
    <t>Iliadis</t>
  </si>
  <si>
    <t>Ingram</t>
  </si>
  <si>
    <t>Jonathan</t>
  </si>
  <si>
    <t>Salvage</t>
  </si>
  <si>
    <t>Andrew</t>
  </si>
  <si>
    <t>Owen</t>
  </si>
  <si>
    <t>Matthew</t>
  </si>
  <si>
    <t>Lilley</t>
  </si>
  <si>
    <t>Denis</t>
  </si>
  <si>
    <t>Gordo</t>
  </si>
  <si>
    <t>Harrison</t>
  </si>
  <si>
    <t>Sian</t>
  </si>
  <si>
    <t>Neil</t>
  </si>
  <si>
    <t>Steve</t>
  </si>
  <si>
    <t>Watson</t>
  </si>
  <si>
    <t>Brendan</t>
  </si>
  <si>
    <t>Lorho</t>
  </si>
  <si>
    <t>Francois</t>
  </si>
  <si>
    <t>Fin</t>
  </si>
  <si>
    <t>Fulton</t>
  </si>
  <si>
    <t>Bob</t>
  </si>
  <si>
    <t>Spagnoletti</t>
  </si>
  <si>
    <t>Paul</t>
  </si>
  <si>
    <t>Arnold</t>
  </si>
  <si>
    <t>Thompson</t>
  </si>
  <si>
    <t>Joey</t>
  </si>
  <si>
    <t>Watts</t>
  </si>
  <si>
    <t>Christine</t>
  </si>
  <si>
    <t>Daffe</t>
  </si>
  <si>
    <t>Wills</t>
  </si>
  <si>
    <t>Ian</t>
  </si>
  <si>
    <t>Shellcock</t>
  </si>
  <si>
    <t>Emile</t>
  </si>
  <si>
    <t>Burnaby Lautier</t>
  </si>
  <si>
    <t>Pavel</t>
  </si>
  <si>
    <t>Dvoulety</t>
  </si>
  <si>
    <t>Robin</t>
  </si>
  <si>
    <t>Russell</t>
  </si>
  <si>
    <t>Boat Motion</t>
  </si>
  <si>
    <t>James</t>
  </si>
  <si>
    <t>Brake</t>
  </si>
  <si>
    <t>John</t>
  </si>
  <si>
    <t>Oliver</t>
  </si>
  <si>
    <t>Anthony</t>
  </si>
  <si>
    <t>Barber</t>
  </si>
  <si>
    <t>Martin</t>
  </si>
  <si>
    <t>Bernie</t>
  </si>
  <si>
    <t>Collenette</t>
  </si>
  <si>
    <t>Anna</t>
  </si>
  <si>
    <t>Arlo</t>
  </si>
  <si>
    <t>Garry</t>
  </si>
  <si>
    <t>Connell</t>
  </si>
  <si>
    <t>Dinsmore</t>
  </si>
  <si>
    <t>Will</t>
  </si>
  <si>
    <t>Trossell</t>
  </si>
  <si>
    <t>Dave</t>
  </si>
  <si>
    <t>Williams</t>
  </si>
  <si>
    <t>Palmer</t>
  </si>
  <si>
    <t>Sanderson</t>
  </si>
  <si>
    <t>Newman</t>
  </si>
  <si>
    <t>Eddie</t>
  </si>
  <si>
    <t>Marsh</t>
  </si>
  <si>
    <t>Andy</t>
  </si>
  <si>
    <t>Stuart-William</t>
  </si>
  <si>
    <t>Longmuir</t>
  </si>
  <si>
    <t>Jonny</t>
  </si>
  <si>
    <t>Kirton</t>
  </si>
  <si>
    <t>Jim</t>
  </si>
  <si>
    <t>Crossley</t>
  </si>
  <si>
    <t>Jack</t>
  </si>
  <si>
    <t>Norman</t>
  </si>
  <si>
    <t>Seb</t>
  </si>
  <si>
    <t>Camaret</t>
  </si>
  <si>
    <t>Hill</t>
  </si>
  <si>
    <t>Twinn</t>
  </si>
  <si>
    <t>Tim</t>
  </si>
  <si>
    <t>Humphreys</t>
  </si>
  <si>
    <t>Goodwin</t>
  </si>
  <si>
    <t>Trevor</t>
  </si>
  <si>
    <t>Whatford</t>
  </si>
  <si>
    <t>Kiernan</t>
  </si>
  <si>
    <t>Iain</t>
  </si>
  <si>
    <t>Neary</t>
  </si>
  <si>
    <t>martin</t>
  </si>
  <si>
    <t>carter</t>
  </si>
  <si>
    <t>Shane</t>
  </si>
  <si>
    <t>Verrion</t>
  </si>
  <si>
    <t>Bran</t>
  </si>
  <si>
    <t>Allan</t>
  </si>
  <si>
    <t>Cross</t>
  </si>
  <si>
    <t>Jay</t>
  </si>
  <si>
    <t>Miller</t>
  </si>
  <si>
    <t>Penna</t>
  </si>
  <si>
    <t>Davison</t>
  </si>
  <si>
    <t>Mitchell</t>
  </si>
  <si>
    <t>Vickers</t>
  </si>
  <si>
    <t/>
  </si>
  <si>
    <t>Motion 4871</t>
  </si>
  <si>
    <t>Motion 871</t>
  </si>
  <si>
    <t>Motion 4822</t>
  </si>
  <si>
    <t>Motion 822</t>
  </si>
  <si>
    <t>Motion 4935</t>
  </si>
  <si>
    <t>Motion 935</t>
  </si>
  <si>
    <t>Motion 665</t>
  </si>
  <si>
    <t>Motion 662</t>
  </si>
  <si>
    <t>Motion 4873</t>
  </si>
  <si>
    <t>Motion 873</t>
  </si>
  <si>
    <t>Motion 870</t>
  </si>
  <si>
    <t>Motion 940</t>
  </si>
  <si>
    <t>Motion 802</t>
  </si>
  <si>
    <t>Motion 4978</t>
  </si>
  <si>
    <t>Motion 978</t>
  </si>
  <si>
    <t>Motion 1045</t>
  </si>
  <si>
    <t>Motion 642</t>
  </si>
  <si>
    <t>Motion 813</t>
  </si>
  <si>
    <t>Motion 4805</t>
  </si>
  <si>
    <t>Motion 805</t>
  </si>
  <si>
    <t>Motion 632</t>
  </si>
  <si>
    <t>Motion 855</t>
  </si>
  <si>
    <t>Motion 824</t>
  </si>
  <si>
    <t>Motion 4952</t>
  </si>
  <si>
    <t>Motion 952</t>
  </si>
  <si>
    <t>Motion 849</t>
  </si>
  <si>
    <t>Motion 806</t>
  </si>
  <si>
    <t>Motion 4807</t>
  </si>
  <si>
    <t>Motion 807</t>
  </si>
  <si>
    <t>Motion 4801</t>
  </si>
  <si>
    <t>Motion 801</t>
  </si>
  <si>
    <t>Motion 1043</t>
  </si>
  <si>
    <t>Motion 4841</t>
  </si>
  <si>
    <t>Motion 841</t>
  </si>
  <si>
    <t>Motion 808</t>
  </si>
  <si>
    <t>Motion 804</t>
  </si>
  <si>
    <t>Motion 707</t>
  </si>
  <si>
    <t>Motion 852</t>
  </si>
  <si>
    <t>Motion 861</t>
  </si>
  <si>
    <t>Motion 1039</t>
  </si>
  <si>
    <t>Motion 845</t>
  </si>
  <si>
    <t>Motion 4987</t>
  </si>
  <si>
    <t>Motion 987</t>
  </si>
  <si>
    <t>Motion 1037</t>
  </si>
  <si>
    <t>Motion 4998</t>
  </si>
  <si>
    <t>Motion 998</t>
  </si>
  <si>
    <t>Motion 623</t>
  </si>
  <si>
    <t>Motion 815</t>
  </si>
  <si>
    <t>Motion 1033</t>
  </si>
  <si>
    <t>Motion 838</t>
  </si>
  <si>
    <t>Motion 819</t>
  </si>
  <si>
    <t>Motion 853</t>
  </si>
  <si>
    <t>Motion 814</t>
  </si>
  <si>
    <t>Motion 643</t>
  </si>
  <si>
    <t>Motion 846</t>
  </si>
  <si>
    <t>Motion 4854</t>
  </si>
  <si>
    <t>Motion 854</t>
  </si>
  <si>
    <t>Motion 1641</t>
  </si>
  <si>
    <t>Motion 1020</t>
  </si>
  <si>
    <t>Motion 858</t>
  </si>
  <si>
    <t>Motion 869</t>
  </si>
  <si>
    <t>Motion 618</t>
  </si>
  <si>
    <t>Motion 827</t>
  </si>
  <si>
    <t>Motion 639</t>
  </si>
  <si>
    <t>Motion 611</t>
  </si>
  <si>
    <t>Motion 826</t>
  </si>
  <si>
    <t>Motion 4821</t>
  </si>
  <si>
    <t>Motion 821</t>
  </si>
  <si>
    <t>Motion 4812</t>
  </si>
  <si>
    <t>Motion 812</t>
  </si>
  <si>
    <t>Motion 829</t>
  </si>
  <si>
    <t>Motion 5669</t>
  </si>
  <si>
    <t>Motion 2669</t>
  </si>
  <si>
    <t>Motion 920</t>
  </si>
  <si>
    <t>Motion 631</t>
  </si>
  <si>
    <t>Motion 4810</t>
  </si>
  <si>
    <t>Motion 810</t>
  </si>
  <si>
    <t>Motion 817</t>
  </si>
  <si>
    <t>Motion 803</t>
  </si>
  <si>
    <t>Motion 699</t>
  </si>
  <si>
    <t>Motion 656</t>
  </si>
  <si>
    <t>Motion 651</t>
  </si>
  <si>
    <t>Motion 836</t>
  </si>
  <si>
    <t>Motion 818</t>
  </si>
  <si>
    <t>Motion 816</t>
  </si>
  <si>
    <t>Motion 4942</t>
  </si>
  <si>
    <t>Motion 942</t>
  </si>
  <si>
    <t>Motion 701</t>
  </si>
  <si>
    <t>Motion 718</t>
  </si>
  <si>
    <t>Motion 4833</t>
  </si>
  <si>
    <t>Motion 833</t>
  </si>
  <si>
    <t>Motion 811</t>
  </si>
  <si>
    <t>Motion 1002</t>
  </si>
  <si>
    <t>Motion 647</t>
  </si>
  <si>
    <t>Motion 1040</t>
  </si>
  <si>
    <t>Motion 676</t>
  </si>
  <si>
    <t>Motion 660</t>
  </si>
  <si>
    <t>Motion 704</t>
  </si>
  <si>
    <t>Motion 661</t>
  </si>
  <si>
    <t>Motion 4866</t>
  </si>
  <si>
    <t>Motion 866</t>
  </si>
  <si>
    <t>Motion 825</t>
  </si>
  <si>
    <t>Motion 633</t>
  </si>
  <si>
    <t>Motion 2695</t>
  </si>
  <si>
    <t>Motion 823</t>
  </si>
  <si>
    <t>Motion 641</t>
  </si>
  <si>
    <t>Motion 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</si>
</sst>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"/>
    </font>
    <font>
      <sz val="11"/>
      <color theme="0" tint="-0.34998626667073579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1"/>
      <color theme="0" tint="-0.34998626667073579"/>
      <name val="Aptos Narrow"/>
      <family val="2"/>
      <charset val="1"/>
    </font>
    <font>
      <b/>
      <sz val="11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89013336588644"/>
        <bgColor rgb="FFFFFFFF"/>
      </patternFill>
    </fill>
    <fill>
      <patternFill patternType="solid">
        <fgColor theme="6" tint="0.79989013336588644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theme="5" tint="0.39988402966399123"/>
        <bgColor rgb="FFFF99CC"/>
      </patternFill>
    </fill>
    <fill>
      <patternFill patternType="solid">
        <fgColor rgb="FFFFC0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2AA84"/>
      <rgbColor rgb="FF3366FF"/>
      <rgbColor rgb="FF33CCCC"/>
      <rgbColor rgb="FF99CC00"/>
      <rgbColor rgb="FFFFC0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6"/>
  <sheetViews>
    <sheetView tabSelected="1" zoomScaleNormal="100" workbookViewId="0">
      <pane ySplit="1" topLeftCell="A68" activePane="bottomLeft" state="frozen"/>
      <selection activeCell="D1" sqref="D1"/>
      <selection pane="bottomLeft" activeCell="A87" sqref="A87"/>
    </sheetView>
  </sheetViews>
  <sheetFormatPr defaultColWidth="8.5703125" defaultRowHeight="15" x14ac:dyDescent="0.25"/>
  <cols>
    <col min="1" max="1" width="5.28515625" customWidth="1"/>
    <col min="2" max="2" width="7.28515625" customWidth="1"/>
    <col min="3" max="3" width="13" customWidth="1"/>
    <col min="4" max="4" width="14.85546875" customWidth="1"/>
    <col min="5" max="7" width="9.140625" style="1" customWidth="1"/>
    <col min="8" max="12" width="10.7109375" style="2" customWidth="1"/>
    <col min="13" max="14" width="11.140625" style="3" customWidth="1"/>
    <col min="15" max="15" width="14.28515625" style="3" customWidth="1"/>
    <col min="16" max="16" width="17.140625" style="3" customWidth="1"/>
    <col min="17" max="17" width="13.28515625" style="4" customWidth="1"/>
    <col min="18" max="18" width="12.140625" style="4" customWidth="1"/>
    <col min="19" max="21" width="13.28515625" style="4" customWidth="1"/>
  </cols>
  <sheetData>
    <row r="1" spans="1:21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7</v>
      </c>
      <c r="R1" s="9" t="s">
        <v>8</v>
      </c>
      <c r="S1" s="9" t="s">
        <v>9</v>
      </c>
      <c r="T1" s="9" t="s">
        <v>10</v>
      </c>
      <c r="U1" s="9" t="s">
        <v>11</v>
      </c>
    </row>
    <row r="2" spans="1:21" x14ac:dyDescent="0.25">
      <c r="A2">
        <v>13</v>
      </c>
      <c r="B2" t="s">
        <v>16</v>
      </c>
      <c r="C2" t="s">
        <v>17</v>
      </c>
      <c r="D2" t="s">
        <v>18</v>
      </c>
      <c r="F2" s="1" t="s">
        <v>19</v>
      </c>
      <c r="I2" s="2" t="s">
        <v>20</v>
      </c>
      <c r="J2" s="2" t="s">
        <v>21</v>
      </c>
      <c r="N2" s="3">
        <f t="shared" ref="N2:N33" si="0">COUNTA(H2:L2)</f>
        <v>2</v>
      </c>
      <c r="O2" s="3">
        <v>871</v>
      </c>
      <c r="P2" s="3" t="str">
        <f t="shared" ref="P2:P9" si="1">UPPER(_xlfn.CONCAT(LEFT(D2,3),O2,LEFT(C2,3)))</f>
        <v>GEO871MIC</v>
      </c>
      <c r="Q2" s="4" t="str">
        <f t="shared" ref="Q2:Q33" si="2">IF(H2&lt;&gt;"", _xlfn.CONCAT("Motion ",IF($N2&gt;1,"5",""),$O2), "")</f>
        <v/>
      </c>
      <c r="R2" s="4" t="str">
        <f t="shared" ref="R2:R33" si="3">IF(I2&lt;&gt;"", _xlfn.CONCAT("Motion ",IF($N2&gt;1,"4",""),$O2), "")</f>
        <v>Motion 4871</v>
      </c>
      <c r="S2" s="4" t="str">
        <f>IF(J2&lt;&gt;"", _xlfn.CONCAT("Motion ",$O2), "")</f>
        <v>Motion 871</v>
      </c>
      <c r="T2" s="4" t="str">
        <f t="shared" ref="T2:T33" si="4">IF(K2&lt;&gt;"", _xlfn.CONCAT("Motion ",IF($N2&gt;1,"2",""),$O2), "")</f>
        <v/>
      </c>
      <c r="U2" s="4" t="str">
        <f t="shared" ref="U2:U33" si="5">IF(L2&lt;&gt;"", _xlfn.CONCAT("Motion ",IF($N2&gt;1,"1",""),$O2), "")</f>
        <v/>
      </c>
    </row>
    <row r="3" spans="1:21" x14ac:dyDescent="0.25">
      <c r="A3">
        <v>14</v>
      </c>
      <c r="B3" t="s">
        <v>16</v>
      </c>
      <c r="C3" t="s">
        <v>22</v>
      </c>
      <c r="D3" t="s">
        <v>23</v>
      </c>
      <c r="F3" s="1" t="s">
        <v>19</v>
      </c>
      <c r="G3" s="10"/>
      <c r="I3" s="2" t="s">
        <v>20</v>
      </c>
      <c r="J3" s="2" t="s">
        <v>21</v>
      </c>
      <c r="M3" s="3" t="str">
        <f t="shared" ref="M3:M34" si="6">IF(A3-A2&lt;&gt;1,A3-A2,"")</f>
        <v/>
      </c>
      <c r="N3" s="3">
        <f t="shared" si="0"/>
        <v>2</v>
      </c>
      <c r="O3" s="3">
        <v>822</v>
      </c>
      <c r="P3" s="3" t="str">
        <f t="shared" si="1"/>
        <v>PET822SIM</v>
      </c>
      <c r="Q3" s="4" t="str">
        <f t="shared" si="2"/>
        <v/>
      </c>
      <c r="R3" s="4" t="str">
        <f t="shared" si="3"/>
        <v>Motion 4822</v>
      </c>
      <c r="S3" s="4" t="str">
        <f t="shared" ref="S3:S66" si="7">IF(J3&lt;&gt;"", _xlfn.CONCAT("Motion ",$O3), "")</f>
        <v>Motion 822</v>
      </c>
      <c r="T3" s="4" t="str">
        <f t="shared" si="4"/>
        <v/>
      </c>
      <c r="U3" s="4" t="str">
        <f t="shared" si="5"/>
        <v/>
      </c>
    </row>
    <row r="4" spans="1:21" x14ac:dyDescent="0.25">
      <c r="A4">
        <v>15</v>
      </c>
      <c r="B4" t="s">
        <v>24</v>
      </c>
      <c r="C4" t="s">
        <v>25</v>
      </c>
      <c r="D4" t="s">
        <v>26</v>
      </c>
      <c r="F4" s="1" t="s">
        <v>19</v>
      </c>
      <c r="G4" s="10"/>
      <c r="I4" s="2" t="s">
        <v>20</v>
      </c>
      <c r="J4" s="2" t="s">
        <v>21</v>
      </c>
      <c r="M4" s="3" t="str">
        <f t="shared" si="6"/>
        <v/>
      </c>
      <c r="N4" s="3">
        <f t="shared" si="0"/>
        <v>2</v>
      </c>
      <c r="O4" s="3">
        <v>935</v>
      </c>
      <c r="P4" s="3" t="str">
        <f t="shared" si="1"/>
        <v>GIB935JEN</v>
      </c>
      <c r="Q4" s="4" t="str">
        <f t="shared" si="2"/>
        <v/>
      </c>
      <c r="R4" s="4" t="str">
        <f t="shared" si="3"/>
        <v>Motion 4935</v>
      </c>
      <c r="S4" s="4" t="str">
        <f t="shared" si="7"/>
        <v>Motion 935</v>
      </c>
      <c r="T4" s="4" t="str">
        <f t="shared" si="4"/>
        <v/>
      </c>
      <c r="U4" s="4" t="str">
        <f t="shared" si="5"/>
        <v/>
      </c>
    </row>
    <row r="5" spans="1:21" x14ac:dyDescent="0.25">
      <c r="A5">
        <v>16</v>
      </c>
      <c r="B5" t="s">
        <v>16</v>
      </c>
      <c r="C5" t="s">
        <v>27</v>
      </c>
      <c r="D5" t="s">
        <v>28</v>
      </c>
      <c r="K5" s="2" t="s">
        <v>29</v>
      </c>
      <c r="M5" s="3" t="str">
        <f t="shared" si="6"/>
        <v/>
      </c>
      <c r="N5" s="3">
        <f t="shared" si="0"/>
        <v>1</v>
      </c>
      <c r="O5" s="3">
        <v>665</v>
      </c>
      <c r="P5" s="3" t="str">
        <f t="shared" si="1"/>
        <v>VAS665STA</v>
      </c>
      <c r="Q5" s="4" t="str">
        <f t="shared" si="2"/>
        <v/>
      </c>
      <c r="R5" s="4" t="str">
        <f t="shared" si="3"/>
        <v/>
      </c>
      <c r="S5" s="4" t="str">
        <f t="shared" si="7"/>
        <v/>
      </c>
      <c r="T5" s="4" t="str">
        <f t="shared" si="4"/>
        <v>Motion 665</v>
      </c>
      <c r="U5" s="4" t="str">
        <f t="shared" si="5"/>
        <v/>
      </c>
    </row>
    <row r="6" spans="1:21" x14ac:dyDescent="0.25">
      <c r="A6">
        <v>17</v>
      </c>
      <c r="B6" t="s">
        <v>30</v>
      </c>
      <c r="C6" t="s">
        <v>31</v>
      </c>
      <c r="D6" t="s">
        <v>32</v>
      </c>
      <c r="K6" s="2" t="s">
        <v>29</v>
      </c>
      <c r="M6" s="3" t="str">
        <f t="shared" si="6"/>
        <v/>
      </c>
      <c r="N6" s="3">
        <f t="shared" si="0"/>
        <v>1</v>
      </c>
      <c r="O6" s="3">
        <v>662</v>
      </c>
      <c r="P6" s="3" t="str">
        <f t="shared" si="1"/>
        <v>EIF662AYA</v>
      </c>
      <c r="Q6" s="4" t="str">
        <f t="shared" si="2"/>
        <v/>
      </c>
      <c r="R6" s="4" t="str">
        <f t="shared" si="3"/>
        <v/>
      </c>
      <c r="S6" s="4" t="str">
        <f t="shared" si="7"/>
        <v/>
      </c>
      <c r="T6" s="4" t="str">
        <f t="shared" si="4"/>
        <v>Motion 662</v>
      </c>
      <c r="U6" s="4" t="str">
        <f t="shared" si="5"/>
        <v/>
      </c>
    </row>
    <row r="7" spans="1:21" x14ac:dyDescent="0.25">
      <c r="A7">
        <v>18</v>
      </c>
      <c r="B7" t="s">
        <v>16</v>
      </c>
      <c r="C7" t="s">
        <v>33</v>
      </c>
      <c r="D7" t="s">
        <v>34</v>
      </c>
      <c r="E7" s="1" t="s">
        <v>19</v>
      </c>
      <c r="F7" s="1" t="s">
        <v>35</v>
      </c>
      <c r="I7" s="2" t="s">
        <v>20</v>
      </c>
      <c r="J7" s="2" t="s">
        <v>21</v>
      </c>
      <c r="M7" s="3" t="str">
        <f t="shared" si="6"/>
        <v/>
      </c>
      <c r="N7" s="3">
        <f t="shared" si="0"/>
        <v>2</v>
      </c>
      <c r="O7" s="3">
        <v>873</v>
      </c>
      <c r="P7" s="3" t="str">
        <f t="shared" si="1"/>
        <v>CHI873DYL</v>
      </c>
      <c r="Q7" s="4" t="str">
        <f t="shared" si="2"/>
        <v/>
      </c>
      <c r="R7" s="4" t="str">
        <f t="shared" si="3"/>
        <v>Motion 4873</v>
      </c>
      <c r="S7" s="4" t="str">
        <f t="shared" si="7"/>
        <v>Motion 873</v>
      </c>
      <c r="T7" s="4" t="str">
        <f t="shared" si="4"/>
        <v/>
      </c>
      <c r="U7" s="4" t="str">
        <f t="shared" si="5"/>
        <v/>
      </c>
    </row>
    <row r="8" spans="1:21" x14ac:dyDescent="0.25">
      <c r="A8">
        <v>19</v>
      </c>
      <c r="B8" t="s">
        <v>16</v>
      </c>
      <c r="C8" t="s">
        <v>36</v>
      </c>
      <c r="D8" t="s">
        <v>37</v>
      </c>
      <c r="F8" s="1" t="s">
        <v>35</v>
      </c>
      <c r="J8" s="2" t="s">
        <v>21</v>
      </c>
      <c r="M8" s="3" t="str">
        <f t="shared" si="6"/>
        <v/>
      </c>
      <c r="N8" s="3">
        <f t="shared" si="0"/>
        <v>1</v>
      </c>
      <c r="O8" s="3">
        <v>870</v>
      </c>
      <c r="P8" s="3" t="str">
        <f t="shared" si="1"/>
        <v>HEN870RIC</v>
      </c>
      <c r="Q8" s="4" t="str">
        <f t="shared" si="2"/>
        <v/>
      </c>
      <c r="R8" s="4" t="str">
        <f t="shared" si="3"/>
        <v/>
      </c>
      <c r="S8" s="4" t="str">
        <f t="shared" si="7"/>
        <v>Motion 870</v>
      </c>
      <c r="T8" s="4" t="str">
        <f t="shared" si="4"/>
        <v/>
      </c>
      <c r="U8" s="4" t="str">
        <f t="shared" si="5"/>
        <v/>
      </c>
    </row>
    <row r="9" spans="1:21" x14ac:dyDescent="0.25">
      <c r="A9">
        <v>20</v>
      </c>
      <c r="B9" t="s">
        <v>16</v>
      </c>
      <c r="C9" t="s">
        <v>38</v>
      </c>
      <c r="D9" t="s">
        <v>39</v>
      </c>
      <c r="F9" s="1" t="s">
        <v>19</v>
      </c>
      <c r="G9" s="10">
        <v>940</v>
      </c>
      <c r="H9" s="2" t="s">
        <v>40</v>
      </c>
      <c r="M9" s="3" t="str">
        <f t="shared" si="6"/>
        <v/>
      </c>
      <c r="N9" s="3">
        <f t="shared" si="0"/>
        <v>1</v>
      </c>
      <c r="O9" s="11">
        <v>940</v>
      </c>
      <c r="P9" s="3" t="str">
        <f t="shared" si="1"/>
        <v>DIC940ROD</v>
      </c>
      <c r="Q9" s="4" t="str">
        <f t="shared" si="2"/>
        <v>Motion 940</v>
      </c>
      <c r="R9" s="4" t="str">
        <f t="shared" si="3"/>
        <v/>
      </c>
      <c r="S9" s="4" t="str">
        <f t="shared" si="7"/>
        <v/>
      </c>
      <c r="T9" s="4" t="str">
        <f t="shared" si="4"/>
        <v/>
      </c>
      <c r="U9" s="4" t="str">
        <f t="shared" si="5"/>
        <v/>
      </c>
    </row>
    <row r="10" spans="1:21" x14ac:dyDescent="0.25">
      <c r="A10">
        <v>21</v>
      </c>
      <c r="B10" t="s">
        <v>16</v>
      </c>
      <c r="C10" t="s">
        <v>41</v>
      </c>
      <c r="D10" t="s">
        <v>42</v>
      </c>
      <c r="F10" s="1" t="s">
        <v>35</v>
      </c>
      <c r="J10" s="2" t="s">
        <v>21</v>
      </c>
      <c r="M10" s="3" t="str">
        <f t="shared" si="6"/>
        <v/>
      </c>
      <c r="N10" s="3">
        <f t="shared" si="0"/>
        <v>1</v>
      </c>
      <c r="O10" s="3">
        <v>802</v>
      </c>
      <c r="P10" s="3" t="str">
        <f>UPPER(_xlfn.CONCAT("BRU",O10,LEFT(C10,3)))</f>
        <v>BRU802JEA</v>
      </c>
      <c r="Q10" s="4" t="str">
        <f t="shared" si="2"/>
        <v/>
      </c>
      <c r="R10" s="4" t="str">
        <f t="shared" si="3"/>
        <v/>
      </c>
      <c r="S10" s="4" t="str">
        <f t="shared" si="7"/>
        <v>Motion 802</v>
      </c>
      <c r="T10" s="4" t="str">
        <f t="shared" si="4"/>
        <v/>
      </c>
      <c r="U10" s="4" t="str">
        <f t="shared" si="5"/>
        <v/>
      </c>
    </row>
    <row r="11" spans="1:21" x14ac:dyDescent="0.25">
      <c r="A11">
        <v>22</v>
      </c>
      <c r="B11" t="s">
        <v>16</v>
      </c>
      <c r="C11" t="s">
        <v>36</v>
      </c>
      <c r="D11" t="s">
        <v>43</v>
      </c>
      <c r="F11" s="1" t="s">
        <v>35</v>
      </c>
      <c r="I11" s="2" t="s">
        <v>20</v>
      </c>
      <c r="J11" s="2" t="s">
        <v>21</v>
      </c>
      <c r="M11" s="3" t="str">
        <f t="shared" si="6"/>
        <v/>
      </c>
      <c r="N11" s="3">
        <f t="shared" si="0"/>
        <v>2</v>
      </c>
      <c r="O11" s="3">
        <v>978</v>
      </c>
      <c r="P11" s="3" t="str">
        <f t="shared" ref="P11:P42" si="8">UPPER(_xlfn.CONCAT(LEFT(D11,3),O11,LEFT(C11,3)))</f>
        <v>DUD978RIC</v>
      </c>
      <c r="Q11" s="4" t="str">
        <f t="shared" si="2"/>
        <v/>
      </c>
      <c r="R11" s="4" t="str">
        <f t="shared" si="3"/>
        <v>Motion 4978</v>
      </c>
      <c r="S11" s="4" t="str">
        <f t="shared" si="7"/>
        <v>Motion 978</v>
      </c>
      <c r="T11" s="4" t="str">
        <f t="shared" si="4"/>
        <v/>
      </c>
      <c r="U11" s="4" t="str">
        <f t="shared" si="5"/>
        <v/>
      </c>
    </row>
    <row r="12" spans="1:21" x14ac:dyDescent="0.25">
      <c r="A12">
        <v>23</v>
      </c>
      <c r="B12" t="s">
        <v>16</v>
      </c>
      <c r="C12" t="s">
        <v>44</v>
      </c>
      <c r="D12" t="s">
        <v>45</v>
      </c>
      <c r="F12" s="1" t="s">
        <v>19</v>
      </c>
      <c r="J12" s="2" t="s">
        <v>21</v>
      </c>
      <c r="M12" s="3" t="str">
        <f t="shared" si="6"/>
        <v/>
      </c>
      <c r="N12" s="3">
        <f t="shared" si="0"/>
        <v>1</v>
      </c>
      <c r="O12" s="3">
        <v>1045</v>
      </c>
      <c r="P12" s="3" t="str">
        <f t="shared" si="8"/>
        <v>MEY1045BEN</v>
      </c>
      <c r="Q12" s="4" t="str">
        <f t="shared" si="2"/>
        <v/>
      </c>
      <c r="R12" s="4" t="str">
        <f t="shared" si="3"/>
        <v/>
      </c>
      <c r="S12" s="4" t="str">
        <f t="shared" si="7"/>
        <v>Motion 1045</v>
      </c>
      <c r="T12" s="4" t="str">
        <f t="shared" si="4"/>
        <v/>
      </c>
      <c r="U12" s="4" t="str">
        <f t="shared" si="5"/>
        <v/>
      </c>
    </row>
    <row r="13" spans="1:21" x14ac:dyDescent="0.25">
      <c r="A13">
        <v>24</v>
      </c>
      <c r="B13" t="s">
        <v>16</v>
      </c>
      <c r="C13" t="s">
        <v>46</v>
      </c>
      <c r="D13" t="s">
        <v>47</v>
      </c>
      <c r="F13" s="1" t="s">
        <v>19</v>
      </c>
      <c r="H13" s="2" t="s">
        <v>40</v>
      </c>
      <c r="M13" s="3" t="str">
        <f t="shared" si="6"/>
        <v/>
      </c>
      <c r="N13" s="3">
        <f t="shared" si="0"/>
        <v>1</v>
      </c>
      <c r="O13" s="3">
        <v>642</v>
      </c>
      <c r="P13" s="3" t="str">
        <f t="shared" si="8"/>
        <v>MIL642JEZ</v>
      </c>
      <c r="Q13" s="4" t="str">
        <f t="shared" si="2"/>
        <v>Motion 642</v>
      </c>
      <c r="R13" s="4" t="str">
        <f t="shared" si="3"/>
        <v/>
      </c>
      <c r="S13" s="4" t="str">
        <f t="shared" si="7"/>
        <v/>
      </c>
      <c r="T13" s="4" t="str">
        <f t="shared" si="4"/>
        <v/>
      </c>
      <c r="U13" s="4" t="str">
        <f t="shared" si="5"/>
        <v/>
      </c>
    </row>
    <row r="14" spans="1:21" x14ac:dyDescent="0.25">
      <c r="A14">
        <v>25</v>
      </c>
      <c r="B14" t="s">
        <v>16</v>
      </c>
      <c r="C14" t="s">
        <v>48</v>
      </c>
      <c r="D14" t="s">
        <v>49</v>
      </c>
      <c r="F14" s="1" t="s">
        <v>19</v>
      </c>
      <c r="J14" s="2" t="s">
        <v>21</v>
      </c>
      <c r="M14" s="3" t="str">
        <f t="shared" si="6"/>
        <v/>
      </c>
      <c r="N14" s="3">
        <f t="shared" si="0"/>
        <v>1</v>
      </c>
      <c r="O14" s="3">
        <v>813</v>
      </c>
      <c r="P14" s="3" t="str">
        <f t="shared" si="8"/>
        <v>REE813MAR</v>
      </c>
      <c r="Q14" s="4" t="str">
        <f t="shared" si="2"/>
        <v/>
      </c>
      <c r="R14" s="4" t="str">
        <f t="shared" si="3"/>
        <v/>
      </c>
      <c r="S14" s="4" t="str">
        <f t="shared" si="7"/>
        <v>Motion 813</v>
      </c>
      <c r="T14" s="4" t="str">
        <f t="shared" si="4"/>
        <v/>
      </c>
      <c r="U14" s="4" t="str">
        <f t="shared" si="5"/>
        <v/>
      </c>
    </row>
    <row r="15" spans="1:21" x14ac:dyDescent="0.25">
      <c r="A15">
        <v>26</v>
      </c>
      <c r="B15" t="s">
        <v>16</v>
      </c>
      <c r="C15" t="s">
        <v>50</v>
      </c>
      <c r="D15" t="s">
        <v>51</v>
      </c>
      <c r="F15" s="1" t="s">
        <v>19</v>
      </c>
      <c r="I15" s="2" t="s">
        <v>20</v>
      </c>
      <c r="J15" s="2" t="s">
        <v>21</v>
      </c>
      <c r="M15" s="3" t="str">
        <f t="shared" si="6"/>
        <v/>
      </c>
      <c r="N15" s="3">
        <f t="shared" si="0"/>
        <v>2</v>
      </c>
      <c r="O15" s="3">
        <v>805</v>
      </c>
      <c r="P15" s="3" t="str">
        <f t="shared" si="8"/>
        <v>LON805ROB</v>
      </c>
      <c r="Q15" s="4" t="str">
        <f t="shared" si="2"/>
        <v/>
      </c>
      <c r="R15" s="4" t="str">
        <f t="shared" si="3"/>
        <v>Motion 4805</v>
      </c>
      <c r="S15" s="4" t="str">
        <f t="shared" si="7"/>
        <v>Motion 805</v>
      </c>
      <c r="T15" s="4" t="str">
        <f t="shared" si="4"/>
        <v/>
      </c>
      <c r="U15" s="4" t="str">
        <f t="shared" si="5"/>
        <v/>
      </c>
    </row>
    <row r="16" spans="1:21" x14ac:dyDescent="0.25">
      <c r="A16">
        <v>27</v>
      </c>
      <c r="B16" t="s">
        <v>52</v>
      </c>
      <c r="C16" t="s">
        <v>53</v>
      </c>
      <c r="D16" t="s">
        <v>54</v>
      </c>
      <c r="F16" s="1" t="s">
        <v>19</v>
      </c>
      <c r="H16" s="2" t="s">
        <v>40</v>
      </c>
      <c r="M16" s="3" t="str">
        <f t="shared" si="6"/>
        <v/>
      </c>
      <c r="N16" s="3">
        <f t="shared" si="0"/>
        <v>1</v>
      </c>
      <c r="O16" s="3">
        <v>632</v>
      </c>
      <c r="P16" s="3" t="str">
        <f t="shared" si="8"/>
        <v>ROG632KAT</v>
      </c>
      <c r="Q16" s="4" t="str">
        <f t="shared" si="2"/>
        <v>Motion 632</v>
      </c>
      <c r="R16" s="4" t="str">
        <f t="shared" si="3"/>
        <v/>
      </c>
      <c r="S16" s="4" t="str">
        <f t="shared" si="7"/>
        <v/>
      </c>
      <c r="T16" s="4" t="str">
        <f t="shared" si="4"/>
        <v/>
      </c>
      <c r="U16" s="4" t="str">
        <f t="shared" si="5"/>
        <v/>
      </c>
    </row>
    <row r="17" spans="1:21" x14ac:dyDescent="0.25">
      <c r="A17">
        <v>28</v>
      </c>
      <c r="B17" t="s">
        <v>16</v>
      </c>
      <c r="C17" t="s">
        <v>55</v>
      </c>
      <c r="D17" t="s">
        <v>56</v>
      </c>
      <c r="F17" s="1" t="s">
        <v>35</v>
      </c>
      <c r="J17" s="2" t="s">
        <v>21</v>
      </c>
      <c r="M17" s="3" t="str">
        <f t="shared" si="6"/>
        <v/>
      </c>
      <c r="N17" s="3">
        <f t="shared" si="0"/>
        <v>1</v>
      </c>
      <c r="O17" s="3">
        <v>855</v>
      </c>
      <c r="P17" s="3" t="str">
        <f t="shared" si="8"/>
        <v>SMI855BAR</v>
      </c>
      <c r="Q17" s="4" t="str">
        <f t="shared" si="2"/>
        <v/>
      </c>
      <c r="R17" s="4" t="str">
        <f t="shared" si="3"/>
        <v/>
      </c>
      <c r="S17" s="4" t="str">
        <f t="shared" si="7"/>
        <v>Motion 855</v>
      </c>
      <c r="T17" s="4" t="str">
        <f t="shared" si="4"/>
        <v/>
      </c>
      <c r="U17" s="4" t="str">
        <f t="shared" si="5"/>
        <v/>
      </c>
    </row>
    <row r="18" spans="1:21" x14ac:dyDescent="0.25">
      <c r="A18">
        <v>29</v>
      </c>
      <c r="B18" t="s">
        <v>16</v>
      </c>
      <c r="C18" t="s">
        <v>36</v>
      </c>
      <c r="D18" t="s">
        <v>57</v>
      </c>
      <c r="F18" s="1" t="s">
        <v>19</v>
      </c>
      <c r="J18" s="2" t="s">
        <v>21</v>
      </c>
      <c r="M18" s="3" t="str">
        <f t="shared" si="6"/>
        <v/>
      </c>
      <c r="N18" s="3">
        <f t="shared" si="0"/>
        <v>1</v>
      </c>
      <c r="O18" s="3">
        <v>824</v>
      </c>
      <c r="P18" s="3" t="str">
        <f t="shared" si="8"/>
        <v>CRO824RIC</v>
      </c>
      <c r="Q18" s="4" t="str">
        <f t="shared" si="2"/>
        <v/>
      </c>
      <c r="R18" s="4" t="str">
        <f t="shared" si="3"/>
        <v/>
      </c>
      <c r="S18" s="4" t="str">
        <f t="shared" si="7"/>
        <v>Motion 824</v>
      </c>
      <c r="T18" s="4" t="str">
        <f t="shared" si="4"/>
        <v/>
      </c>
      <c r="U18" s="4" t="str">
        <f t="shared" si="5"/>
        <v/>
      </c>
    </row>
    <row r="19" spans="1:21" x14ac:dyDescent="0.25">
      <c r="A19">
        <v>30</v>
      </c>
      <c r="B19" t="s">
        <v>16</v>
      </c>
      <c r="C19" t="s">
        <v>58</v>
      </c>
      <c r="D19" t="s">
        <v>57</v>
      </c>
      <c r="F19" s="1" t="s">
        <v>35</v>
      </c>
      <c r="I19" s="2" t="s">
        <v>20</v>
      </c>
      <c r="J19" s="2" t="s">
        <v>21</v>
      </c>
      <c r="M19" s="3" t="str">
        <f t="shared" si="6"/>
        <v/>
      </c>
      <c r="N19" s="3">
        <f t="shared" si="0"/>
        <v>2</v>
      </c>
      <c r="O19" s="3">
        <v>952</v>
      </c>
      <c r="P19" s="3" t="str">
        <f t="shared" si="8"/>
        <v>CRO952PET</v>
      </c>
      <c r="Q19" s="4" t="str">
        <f t="shared" si="2"/>
        <v/>
      </c>
      <c r="R19" s="4" t="str">
        <f t="shared" si="3"/>
        <v>Motion 4952</v>
      </c>
      <c r="S19" s="4" t="str">
        <f t="shared" si="7"/>
        <v>Motion 952</v>
      </c>
      <c r="T19" s="4" t="str">
        <f t="shared" si="4"/>
        <v/>
      </c>
      <c r="U19" s="4" t="str">
        <f t="shared" si="5"/>
        <v/>
      </c>
    </row>
    <row r="20" spans="1:21" x14ac:dyDescent="0.25">
      <c r="A20">
        <v>31</v>
      </c>
      <c r="B20" t="s">
        <v>16</v>
      </c>
      <c r="C20" t="s">
        <v>22</v>
      </c>
      <c r="D20" t="s">
        <v>59</v>
      </c>
      <c r="F20" s="1" t="s">
        <v>19</v>
      </c>
      <c r="J20" s="2" t="s">
        <v>21</v>
      </c>
      <c r="M20" s="3" t="str">
        <f t="shared" si="6"/>
        <v/>
      </c>
      <c r="N20" s="3">
        <f t="shared" si="0"/>
        <v>1</v>
      </c>
      <c r="O20" s="3">
        <v>849</v>
      </c>
      <c r="P20" s="3" t="str">
        <f t="shared" si="8"/>
        <v>BAR849SIM</v>
      </c>
      <c r="Q20" s="4" t="str">
        <f t="shared" si="2"/>
        <v/>
      </c>
      <c r="R20" s="4" t="str">
        <f t="shared" si="3"/>
        <v/>
      </c>
      <c r="S20" s="4" t="str">
        <f t="shared" si="7"/>
        <v>Motion 849</v>
      </c>
      <c r="T20" s="4" t="str">
        <f t="shared" si="4"/>
        <v/>
      </c>
      <c r="U20" s="4" t="str">
        <f t="shared" si="5"/>
        <v/>
      </c>
    </row>
    <row r="21" spans="1:21" x14ac:dyDescent="0.25">
      <c r="A21">
        <v>32</v>
      </c>
      <c r="B21" t="s">
        <v>16</v>
      </c>
      <c r="C21" t="s">
        <v>60</v>
      </c>
      <c r="D21" t="s">
        <v>61</v>
      </c>
      <c r="F21" s="1" t="s">
        <v>35</v>
      </c>
      <c r="J21" s="2" t="s">
        <v>21</v>
      </c>
      <c r="M21" s="3" t="str">
        <f t="shared" si="6"/>
        <v/>
      </c>
      <c r="N21" s="3">
        <f t="shared" si="0"/>
        <v>1</v>
      </c>
      <c r="O21" s="3">
        <v>806</v>
      </c>
      <c r="P21" s="3" t="str">
        <f t="shared" si="8"/>
        <v>MAY806SCO</v>
      </c>
      <c r="Q21" s="4" t="str">
        <f t="shared" si="2"/>
        <v/>
      </c>
      <c r="R21" s="4" t="str">
        <f t="shared" si="3"/>
        <v/>
      </c>
      <c r="S21" s="4" t="str">
        <f t="shared" si="7"/>
        <v>Motion 806</v>
      </c>
      <c r="T21" s="4" t="str">
        <f t="shared" si="4"/>
        <v/>
      </c>
      <c r="U21" s="4" t="str">
        <f t="shared" si="5"/>
        <v/>
      </c>
    </row>
    <row r="22" spans="1:21" x14ac:dyDescent="0.25">
      <c r="A22">
        <v>33</v>
      </c>
      <c r="B22" t="s">
        <v>16</v>
      </c>
      <c r="C22" t="s">
        <v>62</v>
      </c>
      <c r="D22" t="s">
        <v>63</v>
      </c>
      <c r="F22" s="1" t="s">
        <v>35</v>
      </c>
      <c r="I22" s="2" t="s">
        <v>20</v>
      </c>
      <c r="J22" s="2" t="s">
        <v>21</v>
      </c>
      <c r="M22" s="3" t="str">
        <f t="shared" si="6"/>
        <v/>
      </c>
      <c r="N22" s="3">
        <f t="shared" si="0"/>
        <v>2</v>
      </c>
      <c r="O22" s="3">
        <v>807</v>
      </c>
      <c r="P22" s="3" t="str">
        <f t="shared" si="8"/>
        <v>ILI807NIK</v>
      </c>
      <c r="Q22" s="4" t="str">
        <f t="shared" si="2"/>
        <v/>
      </c>
      <c r="R22" s="4" t="str">
        <f t="shared" si="3"/>
        <v>Motion 4807</v>
      </c>
      <c r="S22" s="4" t="str">
        <f t="shared" si="7"/>
        <v>Motion 807</v>
      </c>
      <c r="T22" s="4" t="str">
        <f t="shared" si="4"/>
        <v/>
      </c>
      <c r="U22" s="4" t="str">
        <f t="shared" si="5"/>
        <v/>
      </c>
    </row>
    <row r="23" spans="1:21" x14ac:dyDescent="0.25">
      <c r="A23">
        <v>34</v>
      </c>
      <c r="B23" t="s">
        <v>16</v>
      </c>
      <c r="C23" t="s">
        <v>48</v>
      </c>
      <c r="D23" t="s">
        <v>64</v>
      </c>
      <c r="F23" s="1" t="s">
        <v>19</v>
      </c>
      <c r="I23" s="2" t="s">
        <v>20</v>
      </c>
      <c r="J23" s="2" t="s">
        <v>21</v>
      </c>
      <c r="M23" s="3" t="str">
        <f t="shared" si="6"/>
        <v/>
      </c>
      <c r="N23" s="3">
        <f t="shared" si="0"/>
        <v>2</v>
      </c>
      <c r="O23" s="3">
        <v>801</v>
      </c>
      <c r="P23" s="3" t="str">
        <f t="shared" si="8"/>
        <v>ING801MAR</v>
      </c>
      <c r="Q23" s="4" t="str">
        <f t="shared" si="2"/>
        <v/>
      </c>
      <c r="R23" s="4" t="str">
        <f t="shared" si="3"/>
        <v>Motion 4801</v>
      </c>
      <c r="S23" s="4" t="str">
        <f t="shared" si="7"/>
        <v>Motion 801</v>
      </c>
      <c r="T23" s="4" t="str">
        <f t="shared" si="4"/>
        <v/>
      </c>
      <c r="U23" s="4" t="str">
        <f t="shared" si="5"/>
        <v/>
      </c>
    </row>
    <row r="24" spans="1:21" x14ac:dyDescent="0.25">
      <c r="A24">
        <v>35</v>
      </c>
      <c r="B24" t="s">
        <v>16</v>
      </c>
      <c r="C24" t="s">
        <v>65</v>
      </c>
      <c r="D24" t="s">
        <v>64</v>
      </c>
      <c r="F24" s="1" t="s">
        <v>19</v>
      </c>
      <c r="J24" s="2" t="s">
        <v>21</v>
      </c>
      <c r="M24" s="3" t="str">
        <f t="shared" si="6"/>
        <v/>
      </c>
      <c r="N24" s="3">
        <f t="shared" si="0"/>
        <v>1</v>
      </c>
      <c r="O24" s="3">
        <v>1043</v>
      </c>
      <c r="P24" s="3" t="str">
        <f t="shared" si="8"/>
        <v>ING1043JON</v>
      </c>
      <c r="Q24" s="4" t="str">
        <f t="shared" si="2"/>
        <v/>
      </c>
      <c r="R24" s="4" t="str">
        <f t="shared" si="3"/>
        <v/>
      </c>
      <c r="S24" s="4" t="str">
        <f t="shared" si="7"/>
        <v>Motion 1043</v>
      </c>
      <c r="T24" s="4" t="str">
        <f t="shared" si="4"/>
        <v/>
      </c>
      <c r="U24" s="4" t="str">
        <f t="shared" si="5"/>
        <v/>
      </c>
    </row>
    <row r="25" spans="1:21" x14ac:dyDescent="0.25">
      <c r="A25">
        <v>36</v>
      </c>
      <c r="B25" t="s">
        <v>16</v>
      </c>
      <c r="C25" t="s">
        <v>48</v>
      </c>
      <c r="D25" t="s">
        <v>66</v>
      </c>
      <c r="F25" s="1" t="s">
        <v>19</v>
      </c>
      <c r="I25" s="2" t="s">
        <v>20</v>
      </c>
      <c r="J25" s="2" t="s">
        <v>21</v>
      </c>
      <c r="M25" s="3" t="str">
        <f t="shared" si="6"/>
        <v/>
      </c>
      <c r="N25" s="3">
        <f t="shared" si="0"/>
        <v>2</v>
      </c>
      <c r="O25" s="3">
        <v>841</v>
      </c>
      <c r="P25" s="3" t="str">
        <f t="shared" si="8"/>
        <v>SAL841MAR</v>
      </c>
      <c r="Q25" s="4" t="str">
        <f t="shared" si="2"/>
        <v/>
      </c>
      <c r="R25" s="4" t="str">
        <f t="shared" si="3"/>
        <v>Motion 4841</v>
      </c>
      <c r="S25" s="4" t="str">
        <f t="shared" si="7"/>
        <v>Motion 841</v>
      </c>
      <c r="T25" s="4" t="str">
        <f t="shared" si="4"/>
        <v/>
      </c>
      <c r="U25" s="4" t="str">
        <f t="shared" si="5"/>
        <v/>
      </c>
    </row>
    <row r="26" spans="1:21" x14ac:dyDescent="0.25">
      <c r="A26">
        <v>37</v>
      </c>
      <c r="B26" t="s">
        <v>16</v>
      </c>
      <c r="C26" t="s">
        <v>67</v>
      </c>
      <c r="D26" t="s">
        <v>68</v>
      </c>
      <c r="F26" s="1" t="s">
        <v>35</v>
      </c>
      <c r="J26" s="2" t="s">
        <v>21</v>
      </c>
      <c r="M26" s="3" t="str">
        <f t="shared" si="6"/>
        <v/>
      </c>
      <c r="N26" s="3">
        <f t="shared" si="0"/>
        <v>1</v>
      </c>
      <c r="O26" s="3">
        <v>808</v>
      </c>
      <c r="P26" s="3" t="str">
        <f t="shared" si="8"/>
        <v>OWE808AND</v>
      </c>
      <c r="Q26" s="4" t="str">
        <f t="shared" si="2"/>
        <v/>
      </c>
      <c r="R26" s="4" t="str">
        <f t="shared" si="3"/>
        <v/>
      </c>
      <c r="S26" s="4" t="str">
        <f t="shared" si="7"/>
        <v>Motion 808</v>
      </c>
      <c r="T26" s="4" t="str">
        <f t="shared" si="4"/>
        <v/>
      </c>
      <c r="U26" s="4" t="str">
        <f t="shared" si="5"/>
        <v/>
      </c>
    </row>
    <row r="27" spans="1:21" x14ac:dyDescent="0.25">
      <c r="A27">
        <v>38</v>
      </c>
      <c r="B27" t="s">
        <v>16</v>
      </c>
      <c r="C27" t="s">
        <v>69</v>
      </c>
      <c r="D27" t="s">
        <v>70</v>
      </c>
      <c r="F27" s="1" t="s">
        <v>19</v>
      </c>
      <c r="J27" s="2" t="s">
        <v>21</v>
      </c>
      <c r="M27" s="3" t="str">
        <f t="shared" si="6"/>
        <v/>
      </c>
      <c r="N27" s="3">
        <f t="shared" si="0"/>
        <v>1</v>
      </c>
      <c r="O27" s="3">
        <v>804</v>
      </c>
      <c r="P27" s="3" t="str">
        <f t="shared" si="8"/>
        <v>LIL804MAT</v>
      </c>
      <c r="Q27" s="4" t="str">
        <f t="shared" si="2"/>
        <v/>
      </c>
      <c r="R27" s="4" t="str">
        <f t="shared" si="3"/>
        <v/>
      </c>
      <c r="S27" s="4" t="str">
        <f t="shared" si="7"/>
        <v>Motion 804</v>
      </c>
      <c r="T27" s="4" t="str">
        <f t="shared" si="4"/>
        <v/>
      </c>
      <c r="U27" s="4" t="str">
        <f t="shared" si="5"/>
        <v/>
      </c>
    </row>
    <row r="28" spans="1:21" x14ac:dyDescent="0.25">
      <c r="A28">
        <v>39</v>
      </c>
      <c r="B28" t="s">
        <v>16</v>
      </c>
      <c r="C28" t="s">
        <v>71</v>
      </c>
      <c r="D28" t="s">
        <v>72</v>
      </c>
      <c r="F28" s="1" t="s">
        <v>19</v>
      </c>
      <c r="G28" s="1">
        <v>707</v>
      </c>
      <c r="H28" s="2" t="s">
        <v>40</v>
      </c>
      <c r="M28" s="3" t="str">
        <f t="shared" si="6"/>
        <v/>
      </c>
      <c r="N28" s="3">
        <f t="shared" si="0"/>
        <v>1</v>
      </c>
      <c r="O28" s="11">
        <f>G28</f>
        <v>707</v>
      </c>
      <c r="P28" s="3" t="str">
        <f t="shared" si="8"/>
        <v>GOR707DEN</v>
      </c>
      <c r="Q28" s="4" t="str">
        <f t="shared" si="2"/>
        <v>Motion 707</v>
      </c>
      <c r="R28" s="4" t="str">
        <f t="shared" si="3"/>
        <v/>
      </c>
      <c r="S28" s="4" t="str">
        <f t="shared" si="7"/>
        <v/>
      </c>
      <c r="T28" s="4" t="str">
        <f t="shared" si="4"/>
        <v/>
      </c>
      <c r="U28" s="4" t="str">
        <f t="shared" si="5"/>
        <v/>
      </c>
    </row>
    <row r="29" spans="1:21" x14ac:dyDescent="0.25">
      <c r="A29">
        <v>40</v>
      </c>
      <c r="B29" t="s">
        <v>16</v>
      </c>
      <c r="C29" t="s">
        <v>60</v>
      </c>
      <c r="D29" t="s">
        <v>73</v>
      </c>
      <c r="F29" s="1" t="s">
        <v>19</v>
      </c>
      <c r="J29" s="2" t="s">
        <v>21</v>
      </c>
      <c r="M29" s="3" t="str">
        <f t="shared" si="6"/>
        <v/>
      </c>
      <c r="N29" s="3">
        <f t="shared" si="0"/>
        <v>1</v>
      </c>
      <c r="O29" s="3">
        <v>852</v>
      </c>
      <c r="P29" s="3" t="str">
        <f t="shared" si="8"/>
        <v>HAR852SCO</v>
      </c>
      <c r="Q29" s="4" t="str">
        <f t="shared" si="2"/>
        <v/>
      </c>
      <c r="R29" s="4" t="str">
        <f t="shared" si="3"/>
        <v/>
      </c>
      <c r="S29" s="4" t="str">
        <f t="shared" si="7"/>
        <v>Motion 852</v>
      </c>
      <c r="T29" s="4" t="str">
        <f t="shared" si="4"/>
        <v/>
      </c>
      <c r="U29" s="4" t="str">
        <f t="shared" si="5"/>
        <v/>
      </c>
    </row>
    <row r="30" spans="1:21" x14ac:dyDescent="0.25">
      <c r="A30">
        <v>41</v>
      </c>
      <c r="B30" t="s">
        <v>52</v>
      </c>
      <c r="C30" t="s">
        <v>74</v>
      </c>
      <c r="D30" t="s">
        <v>73</v>
      </c>
      <c r="F30" s="1" t="s">
        <v>19</v>
      </c>
      <c r="J30" s="2" t="s">
        <v>21</v>
      </c>
      <c r="M30" s="3" t="str">
        <f t="shared" si="6"/>
        <v/>
      </c>
      <c r="N30" s="3">
        <f t="shared" si="0"/>
        <v>1</v>
      </c>
      <c r="O30" s="3">
        <v>861</v>
      </c>
      <c r="P30" s="3" t="str">
        <f t="shared" si="8"/>
        <v>HAR861SIA</v>
      </c>
      <c r="Q30" s="4" t="str">
        <f t="shared" si="2"/>
        <v/>
      </c>
      <c r="R30" s="4" t="str">
        <f t="shared" si="3"/>
        <v/>
      </c>
      <c r="S30" s="4" t="str">
        <f t="shared" si="7"/>
        <v>Motion 861</v>
      </c>
      <c r="T30" s="4" t="str">
        <f t="shared" si="4"/>
        <v/>
      </c>
      <c r="U30" s="4" t="str">
        <f t="shared" si="5"/>
        <v/>
      </c>
    </row>
    <row r="31" spans="1:21" x14ac:dyDescent="0.25">
      <c r="A31">
        <v>42</v>
      </c>
      <c r="B31" t="s">
        <v>16</v>
      </c>
      <c r="C31" t="s">
        <v>75</v>
      </c>
      <c r="D31" t="s">
        <v>45</v>
      </c>
      <c r="F31" s="1" t="s">
        <v>19</v>
      </c>
      <c r="J31" s="2" t="s">
        <v>21</v>
      </c>
      <c r="M31" s="3" t="str">
        <f t="shared" si="6"/>
        <v/>
      </c>
      <c r="N31" s="3">
        <f t="shared" si="0"/>
        <v>1</v>
      </c>
      <c r="O31" s="3">
        <v>1039</v>
      </c>
      <c r="P31" s="3" t="str">
        <f t="shared" si="8"/>
        <v>MEY1039NEI</v>
      </c>
      <c r="Q31" s="4" t="str">
        <f t="shared" si="2"/>
        <v/>
      </c>
      <c r="R31" s="4" t="str">
        <f t="shared" si="3"/>
        <v/>
      </c>
      <c r="S31" s="4" t="str">
        <f t="shared" si="7"/>
        <v>Motion 1039</v>
      </c>
      <c r="T31" s="4" t="str">
        <f t="shared" si="4"/>
        <v/>
      </c>
      <c r="U31" s="4" t="str">
        <f t="shared" si="5"/>
        <v/>
      </c>
    </row>
    <row r="32" spans="1:21" x14ac:dyDescent="0.25">
      <c r="A32">
        <v>43</v>
      </c>
      <c r="B32" t="s">
        <v>16</v>
      </c>
      <c r="C32" t="s">
        <v>76</v>
      </c>
      <c r="D32" t="s">
        <v>77</v>
      </c>
      <c r="F32" s="1" t="s">
        <v>35</v>
      </c>
      <c r="J32" s="2" t="s">
        <v>21</v>
      </c>
      <c r="M32" s="3" t="str">
        <f t="shared" si="6"/>
        <v/>
      </c>
      <c r="N32" s="3">
        <f t="shared" si="0"/>
        <v>1</v>
      </c>
      <c r="O32" s="3">
        <v>845</v>
      </c>
      <c r="P32" s="3" t="str">
        <f t="shared" si="8"/>
        <v>WAT845STE</v>
      </c>
      <c r="Q32" s="4" t="str">
        <f t="shared" si="2"/>
        <v/>
      </c>
      <c r="R32" s="4" t="str">
        <f t="shared" si="3"/>
        <v/>
      </c>
      <c r="S32" s="4" t="str">
        <f t="shared" si="7"/>
        <v>Motion 845</v>
      </c>
      <c r="T32" s="4" t="str">
        <f t="shared" si="4"/>
        <v/>
      </c>
      <c r="U32" s="4" t="str">
        <f t="shared" si="5"/>
        <v/>
      </c>
    </row>
    <row r="33" spans="1:21" x14ac:dyDescent="0.25">
      <c r="A33">
        <v>44</v>
      </c>
      <c r="B33" t="s">
        <v>16</v>
      </c>
      <c r="C33" t="s">
        <v>78</v>
      </c>
      <c r="D33" t="s">
        <v>79</v>
      </c>
      <c r="F33" s="1" t="s">
        <v>35</v>
      </c>
      <c r="I33" s="2" t="s">
        <v>20</v>
      </c>
      <c r="J33" s="2" t="s">
        <v>21</v>
      </c>
      <c r="M33" s="3" t="str">
        <f t="shared" si="6"/>
        <v/>
      </c>
      <c r="N33" s="3">
        <f t="shared" si="0"/>
        <v>2</v>
      </c>
      <c r="O33" s="3">
        <v>987</v>
      </c>
      <c r="P33" s="3" t="str">
        <f t="shared" si="8"/>
        <v>LOR987BRE</v>
      </c>
      <c r="Q33" s="4" t="str">
        <f t="shared" si="2"/>
        <v/>
      </c>
      <c r="R33" s="4" t="str">
        <f t="shared" si="3"/>
        <v>Motion 4987</v>
      </c>
      <c r="S33" s="4" t="str">
        <f t="shared" si="7"/>
        <v>Motion 987</v>
      </c>
      <c r="T33" s="4" t="str">
        <f t="shared" si="4"/>
        <v/>
      </c>
      <c r="U33" s="4" t="str">
        <f t="shared" si="5"/>
        <v/>
      </c>
    </row>
    <row r="34" spans="1:21" x14ac:dyDescent="0.25">
      <c r="A34">
        <v>45</v>
      </c>
      <c r="B34" t="s">
        <v>16</v>
      </c>
      <c r="C34" t="s">
        <v>80</v>
      </c>
      <c r="D34" t="s">
        <v>79</v>
      </c>
      <c r="F34" s="1" t="s">
        <v>35</v>
      </c>
      <c r="J34" s="2" t="s">
        <v>21</v>
      </c>
      <c r="M34" s="3" t="str">
        <f t="shared" si="6"/>
        <v/>
      </c>
      <c r="N34" s="3">
        <f t="shared" ref="N34:N65" si="9">COUNTA(H34:L34)</f>
        <v>1</v>
      </c>
      <c r="O34" s="3">
        <v>1037</v>
      </c>
      <c r="P34" s="3" t="str">
        <f t="shared" si="8"/>
        <v>LOR1037FRA</v>
      </c>
      <c r="Q34" s="4" t="str">
        <f t="shared" ref="Q34:Q65" si="10">IF(H34&lt;&gt;"", _xlfn.CONCAT("Motion ",IF($N34&gt;1,"5",""),$O34), "")</f>
        <v/>
      </c>
      <c r="R34" s="4" t="str">
        <f t="shared" ref="R34:R65" si="11">IF(I34&lt;&gt;"", _xlfn.CONCAT("Motion ",IF($N34&gt;1,"4",""),$O34), "")</f>
        <v/>
      </c>
      <c r="S34" s="4" t="str">
        <f t="shared" si="7"/>
        <v>Motion 1037</v>
      </c>
      <c r="T34" s="4" t="str">
        <f t="shared" ref="T34:T65" si="12">IF(K34&lt;&gt;"", _xlfn.CONCAT("Motion ",IF($N34&gt;1,"2",""),$O34), "")</f>
        <v/>
      </c>
      <c r="U34" s="4" t="str">
        <f t="shared" ref="U34:U65" si="13">IF(L34&lt;&gt;"", _xlfn.CONCAT("Motion ",IF($N34&gt;1,"1",""),$O34), "")</f>
        <v/>
      </c>
    </row>
    <row r="35" spans="1:21" x14ac:dyDescent="0.25">
      <c r="A35">
        <v>46</v>
      </c>
      <c r="B35" t="s">
        <v>16</v>
      </c>
      <c r="C35" t="s">
        <v>81</v>
      </c>
      <c r="D35" t="s">
        <v>39</v>
      </c>
      <c r="F35" s="1" t="s">
        <v>35</v>
      </c>
      <c r="I35" s="2" t="s">
        <v>20</v>
      </c>
      <c r="J35" s="2" t="s">
        <v>21</v>
      </c>
      <c r="M35" s="3" t="str">
        <f t="shared" ref="M35:M66" si="14">IF(A35-A34&lt;&gt;1,A35-A34,"")</f>
        <v/>
      </c>
      <c r="N35" s="3">
        <f t="shared" si="9"/>
        <v>2</v>
      </c>
      <c r="O35" s="3">
        <v>998</v>
      </c>
      <c r="P35" s="3" t="str">
        <f t="shared" si="8"/>
        <v>DIC998FIN</v>
      </c>
      <c r="Q35" s="4" t="str">
        <f t="shared" si="10"/>
        <v/>
      </c>
      <c r="R35" s="4" t="str">
        <f t="shared" si="11"/>
        <v>Motion 4998</v>
      </c>
      <c r="S35" s="4" t="str">
        <f t="shared" si="7"/>
        <v>Motion 998</v>
      </c>
      <c r="T35" s="4" t="str">
        <f t="shared" si="12"/>
        <v/>
      </c>
      <c r="U35" s="4" t="str">
        <f t="shared" si="13"/>
        <v/>
      </c>
    </row>
    <row r="36" spans="1:21" x14ac:dyDescent="0.25">
      <c r="A36">
        <v>47</v>
      </c>
      <c r="B36" t="s">
        <v>16</v>
      </c>
      <c r="C36" t="s">
        <v>18</v>
      </c>
      <c r="D36" t="s">
        <v>82</v>
      </c>
      <c r="F36" s="1" t="s">
        <v>19</v>
      </c>
      <c r="G36" s="10">
        <v>623</v>
      </c>
      <c r="J36" s="2" t="s">
        <v>21</v>
      </c>
      <c r="M36" s="3" t="str">
        <f t="shared" si="14"/>
        <v/>
      </c>
      <c r="N36" s="3">
        <f t="shared" si="9"/>
        <v>1</v>
      </c>
      <c r="O36" s="11">
        <f>G36</f>
        <v>623</v>
      </c>
      <c r="P36" s="3" t="str">
        <f t="shared" si="8"/>
        <v>FUL623GEO</v>
      </c>
      <c r="Q36" s="4" t="str">
        <f t="shared" si="10"/>
        <v/>
      </c>
      <c r="R36" s="4" t="str">
        <f t="shared" si="11"/>
        <v/>
      </c>
      <c r="S36" s="4" t="str">
        <f t="shared" si="7"/>
        <v>Motion 623</v>
      </c>
      <c r="T36" s="4" t="str">
        <f t="shared" si="12"/>
        <v/>
      </c>
      <c r="U36" s="4" t="str">
        <f t="shared" si="13"/>
        <v/>
      </c>
    </row>
    <row r="37" spans="1:21" x14ac:dyDescent="0.25">
      <c r="A37">
        <v>48</v>
      </c>
      <c r="B37" t="s">
        <v>16</v>
      </c>
      <c r="C37" t="s">
        <v>83</v>
      </c>
      <c r="D37" t="s">
        <v>84</v>
      </c>
      <c r="F37" s="1" t="s">
        <v>35</v>
      </c>
      <c r="J37" s="2" t="s">
        <v>21</v>
      </c>
      <c r="M37" s="3" t="str">
        <f t="shared" si="14"/>
        <v/>
      </c>
      <c r="N37" s="3">
        <f t="shared" si="9"/>
        <v>1</v>
      </c>
      <c r="O37" s="3">
        <v>815</v>
      </c>
      <c r="P37" s="3" t="str">
        <f t="shared" si="8"/>
        <v>SPA815BOB</v>
      </c>
      <c r="Q37" s="4" t="str">
        <f t="shared" si="10"/>
        <v/>
      </c>
      <c r="R37" s="4" t="str">
        <f t="shared" si="11"/>
        <v/>
      </c>
      <c r="S37" s="4" t="str">
        <f t="shared" si="7"/>
        <v>Motion 815</v>
      </c>
      <c r="T37" s="4" t="str">
        <f t="shared" si="12"/>
        <v/>
      </c>
      <c r="U37" s="4" t="str">
        <f t="shared" si="13"/>
        <v/>
      </c>
    </row>
    <row r="38" spans="1:21" x14ac:dyDescent="0.25">
      <c r="A38">
        <v>49</v>
      </c>
      <c r="B38" t="s">
        <v>16</v>
      </c>
      <c r="C38" t="s">
        <v>85</v>
      </c>
      <c r="D38" t="s">
        <v>86</v>
      </c>
      <c r="F38" s="1" t="s">
        <v>35</v>
      </c>
      <c r="J38" s="2" t="s">
        <v>21</v>
      </c>
      <c r="M38" s="3" t="str">
        <f t="shared" si="14"/>
        <v/>
      </c>
      <c r="N38" s="3">
        <f t="shared" si="9"/>
        <v>1</v>
      </c>
      <c r="O38" s="3">
        <v>1033</v>
      </c>
      <c r="P38" s="3" t="str">
        <f t="shared" si="8"/>
        <v>ARN1033PAU</v>
      </c>
      <c r="Q38" s="4" t="str">
        <f t="shared" si="10"/>
        <v/>
      </c>
      <c r="R38" s="4" t="str">
        <f t="shared" si="11"/>
        <v/>
      </c>
      <c r="S38" s="4" t="str">
        <f t="shared" si="7"/>
        <v>Motion 1033</v>
      </c>
      <c r="T38" s="4" t="str">
        <f t="shared" si="12"/>
        <v/>
      </c>
      <c r="U38" s="4" t="str">
        <f t="shared" si="13"/>
        <v/>
      </c>
    </row>
    <row r="39" spans="1:21" x14ac:dyDescent="0.25">
      <c r="A39">
        <v>50</v>
      </c>
      <c r="B39" t="s">
        <v>16</v>
      </c>
      <c r="C39" t="s">
        <v>76</v>
      </c>
      <c r="D39" t="s">
        <v>87</v>
      </c>
      <c r="F39" s="1" t="s">
        <v>35</v>
      </c>
      <c r="J39" s="2" t="s">
        <v>21</v>
      </c>
      <c r="M39" s="3" t="str">
        <f t="shared" si="14"/>
        <v/>
      </c>
      <c r="N39" s="3">
        <f t="shared" si="9"/>
        <v>1</v>
      </c>
      <c r="O39" s="3">
        <v>838</v>
      </c>
      <c r="P39" s="3" t="str">
        <f t="shared" si="8"/>
        <v>THO838STE</v>
      </c>
      <c r="Q39" s="4" t="str">
        <f t="shared" si="10"/>
        <v/>
      </c>
      <c r="R39" s="4" t="str">
        <f t="shared" si="11"/>
        <v/>
      </c>
      <c r="S39" s="4" t="str">
        <f t="shared" si="7"/>
        <v>Motion 838</v>
      </c>
      <c r="T39" s="4" t="str">
        <f t="shared" si="12"/>
        <v/>
      </c>
      <c r="U39" s="4" t="str">
        <f t="shared" si="13"/>
        <v/>
      </c>
    </row>
    <row r="40" spans="1:21" x14ac:dyDescent="0.25">
      <c r="A40">
        <v>51</v>
      </c>
      <c r="B40" t="s">
        <v>52</v>
      </c>
      <c r="C40" t="s">
        <v>88</v>
      </c>
      <c r="D40" t="s">
        <v>89</v>
      </c>
      <c r="F40" s="1" t="s">
        <v>35</v>
      </c>
      <c r="J40" s="2" t="s">
        <v>21</v>
      </c>
      <c r="M40" s="3" t="str">
        <f t="shared" si="14"/>
        <v/>
      </c>
      <c r="N40" s="3">
        <f t="shared" si="9"/>
        <v>1</v>
      </c>
      <c r="O40" s="3">
        <v>819</v>
      </c>
      <c r="P40" s="3" t="str">
        <f t="shared" si="8"/>
        <v>WAT819JOE</v>
      </c>
      <c r="Q40" s="4" t="str">
        <f t="shared" si="10"/>
        <v/>
      </c>
      <c r="R40" s="4" t="str">
        <f t="shared" si="11"/>
        <v/>
      </c>
      <c r="S40" s="4" t="str">
        <f t="shared" si="7"/>
        <v>Motion 819</v>
      </c>
      <c r="T40" s="4" t="str">
        <f t="shared" si="12"/>
        <v/>
      </c>
      <c r="U40" s="4" t="str">
        <f t="shared" si="13"/>
        <v/>
      </c>
    </row>
    <row r="41" spans="1:21" x14ac:dyDescent="0.25">
      <c r="A41">
        <v>52</v>
      </c>
      <c r="B41" t="s">
        <v>52</v>
      </c>
      <c r="C41" t="s">
        <v>90</v>
      </c>
      <c r="D41" t="s">
        <v>91</v>
      </c>
      <c r="F41" s="1" t="s">
        <v>35</v>
      </c>
      <c r="J41" s="2" t="s">
        <v>21</v>
      </c>
      <c r="M41" s="3" t="str">
        <f t="shared" si="14"/>
        <v/>
      </c>
      <c r="N41" s="3">
        <f t="shared" si="9"/>
        <v>1</v>
      </c>
      <c r="O41" s="3">
        <v>853</v>
      </c>
      <c r="P41" s="3" t="str">
        <f t="shared" si="8"/>
        <v>DAF853CHR</v>
      </c>
      <c r="Q41" s="4" t="str">
        <f t="shared" si="10"/>
        <v/>
      </c>
      <c r="R41" s="4" t="str">
        <f t="shared" si="11"/>
        <v/>
      </c>
      <c r="S41" s="4" t="str">
        <f t="shared" si="7"/>
        <v>Motion 853</v>
      </c>
      <c r="T41" s="4" t="str">
        <f t="shared" si="12"/>
        <v/>
      </c>
      <c r="U41" s="4" t="str">
        <f t="shared" si="13"/>
        <v/>
      </c>
    </row>
    <row r="42" spans="1:21" x14ac:dyDescent="0.25">
      <c r="A42">
        <v>53</v>
      </c>
      <c r="B42" t="s">
        <v>16</v>
      </c>
      <c r="C42" t="s">
        <v>65</v>
      </c>
      <c r="D42" t="s">
        <v>92</v>
      </c>
      <c r="F42" s="1" t="s">
        <v>35</v>
      </c>
      <c r="J42" s="2" t="s">
        <v>21</v>
      </c>
      <c r="M42" s="3" t="str">
        <f t="shared" si="14"/>
        <v/>
      </c>
      <c r="N42" s="3">
        <f t="shared" si="9"/>
        <v>1</v>
      </c>
      <c r="O42" s="3">
        <v>814</v>
      </c>
      <c r="P42" s="3" t="str">
        <f t="shared" si="8"/>
        <v>WIL814JON</v>
      </c>
      <c r="Q42" s="4" t="str">
        <f t="shared" si="10"/>
        <v/>
      </c>
      <c r="R42" s="4" t="str">
        <f t="shared" si="11"/>
        <v/>
      </c>
      <c r="S42" s="4" t="str">
        <f t="shared" si="7"/>
        <v>Motion 814</v>
      </c>
      <c r="T42" s="4" t="str">
        <f t="shared" si="12"/>
        <v/>
      </c>
      <c r="U42" s="4" t="str">
        <f t="shared" si="13"/>
        <v/>
      </c>
    </row>
    <row r="43" spans="1:21" x14ac:dyDescent="0.25">
      <c r="A43">
        <v>54</v>
      </c>
      <c r="B43" t="s">
        <v>16</v>
      </c>
      <c r="C43" t="s">
        <v>93</v>
      </c>
      <c r="D43" t="s">
        <v>94</v>
      </c>
      <c r="F43" s="1" t="s">
        <v>35</v>
      </c>
      <c r="H43" s="2" t="s">
        <v>40</v>
      </c>
      <c r="M43" s="3" t="str">
        <f t="shared" si="14"/>
        <v/>
      </c>
      <c r="N43" s="3">
        <f t="shared" si="9"/>
        <v>1</v>
      </c>
      <c r="O43" s="3">
        <v>643</v>
      </c>
      <c r="P43" s="3" t="str">
        <f t="shared" ref="P43:P74" si="15">UPPER(_xlfn.CONCAT(LEFT(D43,3),O43,LEFT(C43,3)))</f>
        <v>SHE643IAN</v>
      </c>
      <c r="Q43" s="4" t="str">
        <f t="shared" si="10"/>
        <v>Motion 643</v>
      </c>
      <c r="R43" s="4" t="str">
        <f t="shared" si="11"/>
        <v/>
      </c>
      <c r="S43" s="4" t="str">
        <f t="shared" si="7"/>
        <v/>
      </c>
      <c r="T43" s="4" t="str">
        <f t="shared" si="12"/>
        <v/>
      </c>
      <c r="U43" s="4" t="str">
        <f t="shared" si="13"/>
        <v/>
      </c>
    </row>
    <row r="44" spans="1:21" x14ac:dyDescent="0.25">
      <c r="A44">
        <v>55</v>
      </c>
      <c r="B44" t="s">
        <v>16</v>
      </c>
      <c r="C44" t="s">
        <v>95</v>
      </c>
      <c r="D44" t="s">
        <v>96</v>
      </c>
      <c r="G44" s="10">
        <v>846</v>
      </c>
      <c r="K44" s="2" t="s">
        <v>29</v>
      </c>
      <c r="M44" s="3" t="str">
        <f t="shared" si="14"/>
        <v/>
      </c>
      <c r="N44" s="3">
        <f t="shared" si="9"/>
        <v>1</v>
      </c>
      <c r="O44" s="11">
        <f>G44</f>
        <v>846</v>
      </c>
      <c r="P44" s="3" t="str">
        <f t="shared" si="15"/>
        <v>BUR846EMI</v>
      </c>
      <c r="Q44" s="4" t="str">
        <f t="shared" si="10"/>
        <v/>
      </c>
      <c r="R44" s="4" t="str">
        <f t="shared" si="11"/>
        <v/>
      </c>
      <c r="S44" s="4" t="str">
        <f t="shared" si="7"/>
        <v/>
      </c>
      <c r="T44" s="4" t="str">
        <f t="shared" si="12"/>
        <v>Motion 846</v>
      </c>
      <c r="U44" s="4" t="str">
        <f t="shared" si="13"/>
        <v/>
      </c>
    </row>
    <row r="45" spans="1:21" x14ac:dyDescent="0.25">
      <c r="A45">
        <v>56</v>
      </c>
      <c r="B45" t="s">
        <v>16</v>
      </c>
      <c r="C45" t="s">
        <v>97</v>
      </c>
      <c r="D45" t="s">
        <v>98</v>
      </c>
      <c r="F45" s="1" t="s">
        <v>35</v>
      </c>
      <c r="I45" s="2" t="s">
        <v>20</v>
      </c>
      <c r="J45" s="2" t="s">
        <v>21</v>
      </c>
      <c r="M45" s="3" t="str">
        <f t="shared" si="14"/>
        <v/>
      </c>
      <c r="N45" s="3">
        <f t="shared" si="9"/>
        <v>2</v>
      </c>
      <c r="O45" s="3">
        <v>854</v>
      </c>
      <c r="P45" s="3" t="str">
        <f t="shared" si="15"/>
        <v>DVO854PAV</v>
      </c>
      <c r="Q45" s="4" t="str">
        <f t="shared" si="10"/>
        <v/>
      </c>
      <c r="R45" s="4" t="str">
        <f t="shared" si="11"/>
        <v>Motion 4854</v>
      </c>
      <c r="S45" s="4" t="str">
        <f t="shared" si="7"/>
        <v>Motion 854</v>
      </c>
      <c r="T45" s="4" t="str">
        <f t="shared" si="12"/>
        <v/>
      </c>
      <c r="U45" s="4" t="str">
        <f t="shared" si="13"/>
        <v/>
      </c>
    </row>
    <row r="46" spans="1:21" x14ac:dyDescent="0.25">
      <c r="A46">
        <v>57</v>
      </c>
      <c r="B46" t="s">
        <v>16</v>
      </c>
      <c r="C46" t="s">
        <v>99</v>
      </c>
      <c r="D46" t="s">
        <v>100</v>
      </c>
      <c r="F46" s="1" t="s">
        <v>35</v>
      </c>
      <c r="J46" s="2" t="s">
        <v>21</v>
      </c>
      <c r="L46" s="2" t="s">
        <v>101</v>
      </c>
      <c r="M46" s="3" t="str">
        <f t="shared" si="14"/>
        <v/>
      </c>
      <c r="N46" s="3">
        <f t="shared" si="9"/>
        <v>2</v>
      </c>
      <c r="O46" s="3">
        <v>641</v>
      </c>
      <c r="P46" s="3" t="str">
        <f t="shared" si="15"/>
        <v>RUS641ROB</v>
      </c>
      <c r="Q46" s="4" t="str">
        <f t="shared" si="10"/>
        <v/>
      </c>
      <c r="R46" s="4" t="str">
        <f t="shared" si="11"/>
        <v/>
      </c>
      <c r="S46" s="4" t="str">
        <f t="shared" si="7"/>
        <v>Motion 641</v>
      </c>
      <c r="T46" s="4" t="str">
        <f t="shared" si="12"/>
        <v/>
      </c>
      <c r="U46" s="4" t="str">
        <f t="shared" si="13"/>
        <v>Motion 1641</v>
      </c>
    </row>
    <row r="47" spans="1:21" x14ac:dyDescent="0.25">
      <c r="A47">
        <v>58</v>
      </c>
      <c r="B47" t="s">
        <v>16</v>
      </c>
      <c r="C47" t="s">
        <v>102</v>
      </c>
      <c r="D47" t="s">
        <v>103</v>
      </c>
      <c r="F47" s="1" t="s">
        <v>19</v>
      </c>
      <c r="J47" s="2" t="s">
        <v>21</v>
      </c>
      <c r="M47" s="3" t="str">
        <f t="shared" si="14"/>
        <v/>
      </c>
      <c r="N47" s="3">
        <f t="shared" si="9"/>
        <v>1</v>
      </c>
      <c r="O47" s="3">
        <v>1020</v>
      </c>
      <c r="P47" s="3" t="str">
        <f t="shared" si="15"/>
        <v>BRA1020JAM</v>
      </c>
      <c r="Q47" s="4" t="str">
        <f t="shared" si="10"/>
        <v/>
      </c>
      <c r="R47" s="4" t="str">
        <f t="shared" si="11"/>
        <v/>
      </c>
      <c r="S47" s="4" t="str">
        <f t="shared" si="7"/>
        <v>Motion 1020</v>
      </c>
      <c r="T47" s="4" t="str">
        <f t="shared" si="12"/>
        <v/>
      </c>
      <c r="U47" s="4" t="str">
        <f t="shared" si="13"/>
        <v/>
      </c>
    </row>
    <row r="48" spans="1:21" x14ac:dyDescent="0.25">
      <c r="A48">
        <v>59</v>
      </c>
      <c r="B48" t="s">
        <v>16</v>
      </c>
      <c r="C48" t="s">
        <v>104</v>
      </c>
      <c r="D48" t="s">
        <v>105</v>
      </c>
      <c r="F48" s="1" t="s">
        <v>19</v>
      </c>
      <c r="J48" s="2" t="s">
        <v>21</v>
      </c>
      <c r="M48" s="3" t="str">
        <f t="shared" si="14"/>
        <v/>
      </c>
      <c r="N48" s="3">
        <f t="shared" si="9"/>
        <v>1</v>
      </c>
      <c r="O48" s="3">
        <v>858</v>
      </c>
      <c r="P48" s="3" t="str">
        <f t="shared" si="15"/>
        <v>OLI858JOH</v>
      </c>
      <c r="Q48" s="4" t="str">
        <f t="shared" si="10"/>
        <v/>
      </c>
      <c r="R48" s="4" t="str">
        <f t="shared" si="11"/>
        <v/>
      </c>
      <c r="S48" s="4" t="str">
        <f t="shared" si="7"/>
        <v>Motion 858</v>
      </c>
      <c r="T48" s="4" t="str">
        <f t="shared" si="12"/>
        <v/>
      </c>
      <c r="U48" s="4" t="str">
        <f t="shared" si="13"/>
        <v/>
      </c>
    </row>
    <row r="49" spans="1:21" x14ac:dyDescent="0.25">
      <c r="A49">
        <v>60</v>
      </c>
      <c r="B49" t="s">
        <v>16</v>
      </c>
      <c r="C49" t="s">
        <v>106</v>
      </c>
      <c r="D49" t="s">
        <v>107</v>
      </c>
      <c r="F49" s="1" t="s">
        <v>35</v>
      </c>
      <c r="J49" s="2" t="s">
        <v>21</v>
      </c>
      <c r="M49" s="3" t="str">
        <f t="shared" si="14"/>
        <v/>
      </c>
      <c r="N49" s="3">
        <f t="shared" si="9"/>
        <v>1</v>
      </c>
      <c r="O49" s="3">
        <v>869</v>
      </c>
      <c r="P49" s="3" t="str">
        <f t="shared" si="15"/>
        <v>BAR869ANT</v>
      </c>
      <c r="Q49" s="4" t="str">
        <f t="shared" si="10"/>
        <v/>
      </c>
      <c r="R49" s="4" t="str">
        <f t="shared" si="11"/>
        <v/>
      </c>
      <c r="S49" s="4" t="str">
        <f t="shared" si="7"/>
        <v>Motion 869</v>
      </c>
      <c r="T49" s="4" t="str">
        <f t="shared" si="12"/>
        <v/>
      </c>
      <c r="U49" s="4" t="str">
        <f t="shared" si="13"/>
        <v/>
      </c>
    </row>
    <row r="50" spans="1:21" x14ac:dyDescent="0.25">
      <c r="A50">
        <v>61</v>
      </c>
      <c r="B50" t="s">
        <v>16</v>
      </c>
      <c r="C50" t="s">
        <v>58</v>
      </c>
      <c r="D50" t="s">
        <v>108</v>
      </c>
      <c r="L50" s="2" t="s">
        <v>101</v>
      </c>
      <c r="M50" s="3" t="str">
        <f t="shared" si="14"/>
        <v/>
      </c>
      <c r="N50" s="3">
        <f t="shared" si="9"/>
        <v>1</v>
      </c>
      <c r="O50" s="3">
        <v>618</v>
      </c>
      <c r="P50" s="3" t="str">
        <f t="shared" si="15"/>
        <v>MAR618PET</v>
      </c>
      <c r="Q50" s="4" t="str">
        <f t="shared" si="10"/>
        <v/>
      </c>
      <c r="R50" s="4" t="str">
        <f t="shared" si="11"/>
        <v/>
      </c>
      <c r="S50" s="4" t="str">
        <f t="shared" si="7"/>
        <v/>
      </c>
      <c r="T50" s="4" t="str">
        <f t="shared" si="12"/>
        <v/>
      </c>
      <c r="U50" s="4" t="str">
        <f t="shared" si="13"/>
        <v>Motion 618</v>
      </c>
    </row>
    <row r="51" spans="1:21" x14ac:dyDescent="0.25">
      <c r="A51">
        <v>63</v>
      </c>
      <c r="B51" t="s">
        <v>16</v>
      </c>
      <c r="C51" t="s">
        <v>81</v>
      </c>
      <c r="D51" t="s">
        <v>109</v>
      </c>
      <c r="E51" s="1" t="s">
        <v>19</v>
      </c>
      <c r="F51" s="1" t="s">
        <v>19</v>
      </c>
      <c r="H51" s="2" t="s">
        <v>40</v>
      </c>
      <c r="M51" s="12">
        <f t="shared" si="14"/>
        <v>2</v>
      </c>
      <c r="N51" s="3">
        <f t="shared" si="9"/>
        <v>1</v>
      </c>
      <c r="O51" s="3">
        <v>827</v>
      </c>
      <c r="P51" s="3" t="str">
        <f t="shared" si="15"/>
        <v>BER827FIN</v>
      </c>
      <c r="Q51" s="4" t="str">
        <f t="shared" si="10"/>
        <v>Motion 827</v>
      </c>
      <c r="R51" s="4" t="str">
        <f t="shared" si="11"/>
        <v/>
      </c>
      <c r="S51" s="4" t="str">
        <f t="shared" si="7"/>
        <v/>
      </c>
      <c r="T51" s="4" t="str">
        <f t="shared" si="12"/>
        <v/>
      </c>
      <c r="U51" s="4" t="str">
        <f t="shared" si="13"/>
        <v/>
      </c>
    </row>
    <row r="52" spans="1:21" x14ac:dyDescent="0.25">
      <c r="A52">
        <v>64</v>
      </c>
      <c r="B52" t="s">
        <v>16</v>
      </c>
      <c r="C52" t="s">
        <v>67</v>
      </c>
      <c r="D52" t="s">
        <v>110</v>
      </c>
      <c r="F52" s="1" t="s">
        <v>19</v>
      </c>
      <c r="H52" s="2" t="s">
        <v>40</v>
      </c>
      <c r="M52" s="3" t="str">
        <f t="shared" si="14"/>
        <v/>
      </c>
      <c r="N52" s="3">
        <f t="shared" si="9"/>
        <v>1</v>
      </c>
      <c r="O52" s="3">
        <v>639</v>
      </c>
      <c r="P52" s="3" t="str">
        <f t="shared" si="15"/>
        <v>COL639AND</v>
      </c>
      <c r="Q52" s="4" t="str">
        <f t="shared" si="10"/>
        <v>Motion 639</v>
      </c>
      <c r="R52" s="4" t="str">
        <f t="shared" si="11"/>
        <v/>
      </c>
      <c r="S52" s="4" t="str">
        <f t="shared" si="7"/>
        <v/>
      </c>
      <c r="T52" s="4" t="str">
        <f t="shared" si="12"/>
        <v/>
      </c>
      <c r="U52" s="4" t="str">
        <f t="shared" si="13"/>
        <v/>
      </c>
    </row>
    <row r="53" spans="1:21" x14ac:dyDescent="0.25">
      <c r="A53">
        <v>65</v>
      </c>
      <c r="B53" t="s">
        <v>30</v>
      </c>
      <c r="C53" t="s">
        <v>111</v>
      </c>
      <c r="D53" t="s">
        <v>110</v>
      </c>
      <c r="F53" s="1" t="s">
        <v>19</v>
      </c>
      <c r="H53" s="2" t="s">
        <v>40</v>
      </c>
      <c r="M53" s="3" t="str">
        <f t="shared" si="14"/>
        <v/>
      </c>
      <c r="N53" s="3">
        <f t="shared" si="9"/>
        <v>1</v>
      </c>
      <c r="O53" s="3">
        <v>611</v>
      </c>
      <c r="P53" s="3" t="str">
        <f t="shared" si="15"/>
        <v>COL611ANN</v>
      </c>
      <c r="Q53" s="4" t="str">
        <f t="shared" si="10"/>
        <v>Motion 611</v>
      </c>
      <c r="R53" s="4" t="str">
        <f t="shared" si="11"/>
        <v/>
      </c>
      <c r="S53" s="4" t="str">
        <f t="shared" si="7"/>
        <v/>
      </c>
      <c r="T53" s="4" t="str">
        <f t="shared" si="12"/>
        <v/>
      </c>
      <c r="U53" s="4" t="str">
        <f t="shared" si="13"/>
        <v/>
      </c>
    </row>
    <row r="54" spans="1:21" x14ac:dyDescent="0.25">
      <c r="A54">
        <v>66</v>
      </c>
      <c r="B54" t="s">
        <v>16</v>
      </c>
      <c r="C54" t="s">
        <v>112</v>
      </c>
      <c r="D54" t="s">
        <v>109</v>
      </c>
      <c r="E54" s="1" t="s">
        <v>19</v>
      </c>
      <c r="F54" s="1" t="s">
        <v>19</v>
      </c>
      <c r="H54" s="2" t="s">
        <v>40</v>
      </c>
      <c r="M54" s="3" t="str">
        <f t="shared" si="14"/>
        <v/>
      </c>
      <c r="N54" s="3">
        <f t="shared" si="9"/>
        <v>1</v>
      </c>
      <c r="O54" s="3">
        <v>826</v>
      </c>
      <c r="P54" s="3" t="str">
        <f t="shared" si="15"/>
        <v>BER826ARL</v>
      </c>
      <c r="Q54" s="4" t="str">
        <f t="shared" si="10"/>
        <v>Motion 826</v>
      </c>
      <c r="R54" s="4" t="str">
        <f t="shared" si="11"/>
        <v/>
      </c>
      <c r="S54" s="4" t="str">
        <f t="shared" si="7"/>
        <v/>
      </c>
      <c r="T54" s="4" t="str">
        <f t="shared" si="12"/>
        <v/>
      </c>
      <c r="U54" s="4" t="str">
        <f t="shared" si="13"/>
        <v/>
      </c>
    </row>
    <row r="55" spans="1:21" x14ac:dyDescent="0.25">
      <c r="A55">
        <v>67</v>
      </c>
      <c r="B55" t="s">
        <v>16</v>
      </c>
      <c r="C55" t="s">
        <v>113</v>
      </c>
      <c r="D55" t="s">
        <v>114</v>
      </c>
      <c r="F55" s="1" t="s">
        <v>19</v>
      </c>
      <c r="I55" s="2" t="s">
        <v>20</v>
      </c>
      <c r="J55" s="2" t="s">
        <v>21</v>
      </c>
      <c r="M55" s="3" t="str">
        <f t="shared" si="14"/>
        <v/>
      </c>
      <c r="N55" s="3">
        <f t="shared" si="9"/>
        <v>2</v>
      </c>
      <c r="O55" s="3">
        <v>821</v>
      </c>
      <c r="P55" s="3" t="str">
        <f t="shared" si="15"/>
        <v>CON821GAR</v>
      </c>
      <c r="Q55" s="4" t="str">
        <f t="shared" si="10"/>
        <v/>
      </c>
      <c r="R55" s="4" t="str">
        <f t="shared" si="11"/>
        <v>Motion 4821</v>
      </c>
      <c r="S55" s="4" t="str">
        <f t="shared" si="7"/>
        <v>Motion 821</v>
      </c>
      <c r="T55" s="4" t="str">
        <f t="shared" si="12"/>
        <v/>
      </c>
      <c r="U55" s="4" t="str">
        <f t="shared" si="13"/>
        <v/>
      </c>
    </row>
    <row r="56" spans="1:21" x14ac:dyDescent="0.25">
      <c r="A56">
        <v>68</v>
      </c>
      <c r="B56" t="s">
        <v>16</v>
      </c>
      <c r="C56" t="s">
        <v>102</v>
      </c>
      <c r="D56" t="s">
        <v>115</v>
      </c>
      <c r="F56" s="1" t="s">
        <v>19</v>
      </c>
      <c r="I56" s="2" t="s">
        <v>20</v>
      </c>
      <c r="J56" s="2" t="s">
        <v>21</v>
      </c>
      <c r="M56" s="3" t="str">
        <f t="shared" si="14"/>
        <v/>
      </c>
      <c r="N56" s="3">
        <f t="shared" si="9"/>
        <v>2</v>
      </c>
      <c r="O56" s="3">
        <v>812</v>
      </c>
      <c r="P56" s="3" t="str">
        <f t="shared" si="15"/>
        <v>DIN812JAM</v>
      </c>
      <c r="Q56" s="4" t="str">
        <f t="shared" si="10"/>
        <v/>
      </c>
      <c r="R56" s="4" t="str">
        <f t="shared" si="11"/>
        <v>Motion 4812</v>
      </c>
      <c r="S56" s="4" t="str">
        <f t="shared" si="7"/>
        <v>Motion 812</v>
      </c>
      <c r="T56" s="4" t="str">
        <f t="shared" si="12"/>
        <v/>
      </c>
      <c r="U56" s="4" t="str">
        <f t="shared" si="13"/>
        <v/>
      </c>
    </row>
    <row r="57" spans="1:21" x14ac:dyDescent="0.25">
      <c r="A57">
        <v>69</v>
      </c>
      <c r="B57" t="s">
        <v>16</v>
      </c>
      <c r="C57" t="s">
        <v>116</v>
      </c>
      <c r="D57" t="s">
        <v>117</v>
      </c>
      <c r="F57" s="1" t="s">
        <v>19</v>
      </c>
      <c r="J57" s="2" t="s">
        <v>21</v>
      </c>
      <c r="M57" s="3" t="str">
        <f t="shared" si="14"/>
        <v/>
      </c>
      <c r="N57" s="3">
        <f t="shared" si="9"/>
        <v>1</v>
      </c>
      <c r="O57" s="3">
        <v>829</v>
      </c>
      <c r="P57" s="3" t="str">
        <f t="shared" si="15"/>
        <v>TRO829WIL</v>
      </c>
      <c r="Q57" s="4" t="str">
        <f t="shared" si="10"/>
        <v/>
      </c>
      <c r="R57" s="4" t="str">
        <f t="shared" si="11"/>
        <v/>
      </c>
      <c r="S57" s="4" t="str">
        <f t="shared" si="7"/>
        <v>Motion 829</v>
      </c>
      <c r="T57" s="4" t="str">
        <f t="shared" si="12"/>
        <v/>
      </c>
      <c r="U57" s="4" t="str">
        <f t="shared" si="13"/>
        <v/>
      </c>
    </row>
    <row r="58" spans="1:21" x14ac:dyDescent="0.25">
      <c r="A58">
        <v>70</v>
      </c>
      <c r="B58" t="s">
        <v>16</v>
      </c>
      <c r="C58" t="s">
        <v>118</v>
      </c>
      <c r="D58" t="s">
        <v>119</v>
      </c>
      <c r="F58" s="1" t="s">
        <v>35</v>
      </c>
      <c r="H58" s="2" t="s">
        <v>40</v>
      </c>
      <c r="K58" s="2" t="s">
        <v>29</v>
      </c>
      <c r="M58" s="3" t="str">
        <f t="shared" si="14"/>
        <v/>
      </c>
      <c r="N58" s="3">
        <f t="shared" si="9"/>
        <v>2</v>
      </c>
      <c r="O58" s="3">
        <v>669</v>
      </c>
      <c r="P58" s="3" t="str">
        <f t="shared" si="15"/>
        <v>WIL669DAV</v>
      </c>
      <c r="Q58" s="4" t="str">
        <f t="shared" si="10"/>
        <v>Motion 5669</v>
      </c>
      <c r="R58" s="4" t="str">
        <f t="shared" si="11"/>
        <v/>
      </c>
      <c r="S58" s="4" t="str">
        <f t="shared" si="7"/>
        <v/>
      </c>
      <c r="T58" s="4" t="str">
        <f t="shared" si="12"/>
        <v>Motion 2669</v>
      </c>
      <c r="U58" s="4" t="str">
        <f t="shared" si="13"/>
        <v/>
      </c>
    </row>
    <row r="59" spans="1:21" x14ac:dyDescent="0.25">
      <c r="A59">
        <v>71</v>
      </c>
      <c r="B59" t="s">
        <v>16</v>
      </c>
      <c r="C59" t="s">
        <v>48</v>
      </c>
      <c r="D59" t="s">
        <v>120</v>
      </c>
      <c r="F59" s="1" t="s">
        <v>19</v>
      </c>
      <c r="G59" s="1">
        <v>920</v>
      </c>
      <c r="J59" s="2" t="s">
        <v>21</v>
      </c>
      <c r="M59" s="3" t="str">
        <f t="shared" si="14"/>
        <v/>
      </c>
      <c r="N59" s="3">
        <f t="shared" si="9"/>
        <v>1</v>
      </c>
      <c r="O59" s="11">
        <f>G59</f>
        <v>920</v>
      </c>
      <c r="P59" s="3" t="str">
        <f t="shared" si="15"/>
        <v>PAL920MAR</v>
      </c>
      <c r="Q59" s="4" t="str">
        <f t="shared" si="10"/>
        <v/>
      </c>
      <c r="R59" s="4" t="str">
        <f t="shared" si="11"/>
        <v/>
      </c>
      <c r="S59" s="4" t="str">
        <f t="shared" si="7"/>
        <v>Motion 920</v>
      </c>
      <c r="T59" s="4" t="str">
        <f t="shared" si="12"/>
        <v/>
      </c>
      <c r="U59" s="4" t="str">
        <f t="shared" si="13"/>
        <v/>
      </c>
    </row>
    <row r="60" spans="1:21" x14ac:dyDescent="0.25">
      <c r="A60">
        <v>72</v>
      </c>
      <c r="B60" t="s">
        <v>16</v>
      </c>
      <c r="C60" t="s">
        <v>22</v>
      </c>
      <c r="D60" t="s">
        <v>121</v>
      </c>
      <c r="F60" s="1" t="s">
        <v>35</v>
      </c>
      <c r="H60" s="2" t="s">
        <v>40</v>
      </c>
      <c r="M60" s="3" t="str">
        <f t="shared" si="14"/>
        <v/>
      </c>
      <c r="N60" s="3">
        <f t="shared" si="9"/>
        <v>1</v>
      </c>
      <c r="O60" s="3">
        <v>631</v>
      </c>
      <c r="P60" s="3" t="str">
        <f t="shared" si="15"/>
        <v>SAN631SIM</v>
      </c>
      <c r="Q60" s="4" t="str">
        <f t="shared" si="10"/>
        <v>Motion 631</v>
      </c>
      <c r="R60" s="4" t="str">
        <f t="shared" si="11"/>
        <v/>
      </c>
      <c r="S60" s="4" t="str">
        <f t="shared" si="7"/>
        <v/>
      </c>
      <c r="T60" s="4" t="str">
        <f t="shared" si="12"/>
        <v/>
      </c>
      <c r="U60" s="4" t="str">
        <f t="shared" si="13"/>
        <v/>
      </c>
    </row>
    <row r="61" spans="1:21" x14ac:dyDescent="0.25">
      <c r="A61">
        <v>73</v>
      </c>
      <c r="B61" t="s">
        <v>16</v>
      </c>
      <c r="C61" t="s">
        <v>48</v>
      </c>
      <c r="D61" t="s">
        <v>122</v>
      </c>
      <c r="F61" s="1" t="s">
        <v>35</v>
      </c>
      <c r="I61" s="2" t="s">
        <v>20</v>
      </c>
      <c r="J61" s="2" t="s">
        <v>21</v>
      </c>
      <c r="M61" s="3" t="str">
        <f t="shared" si="14"/>
        <v/>
      </c>
      <c r="N61" s="3">
        <f t="shared" si="9"/>
        <v>2</v>
      </c>
      <c r="O61" s="3">
        <v>810</v>
      </c>
      <c r="P61" s="3" t="str">
        <f t="shared" si="15"/>
        <v>NEW810MAR</v>
      </c>
      <c r="Q61" s="4" t="str">
        <f t="shared" si="10"/>
        <v/>
      </c>
      <c r="R61" s="4" t="str">
        <f t="shared" si="11"/>
        <v>Motion 4810</v>
      </c>
      <c r="S61" s="4" t="str">
        <f t="shared" si="7"/>
        <v>Motion 810</v>
      </c>
      <c r="T61" s="4" t="str">
        <f t="shared" si="12"/>
        <v/>
      </c>
      <c r="U61" s="4" t="str">
        <f t="shared" si="13"/>
        <v/>
      </c>
    </row>
    <row r="62" spans="1:21" x14ac:dyDescent="0.25">
      <c r="A62">
        <v>75</v>
      </c>
      <c r="B62" t="s">
        <v>16</v>
      </c>
      <c r="C62" t="s">
        <v>123</v>
      </c>
      <c r="D62" t="s">
        <v>124</v>
      </c>
      <c r="F62" s="1" t="s">
        <v>19</v>
      </c>
      <c r="J62" s="2" t="s">
        <v>21</v>
      </c>
      <c r="M62" s="12">
        <f t="shared" si="14"/>
        <v>2</v>
      </c>
      <c r="N62" s="3">
        <f t="shared" si="9"/>
        <v>1</v>
      </c>
      <c r="O62" s="3">
        <v>817</v>
      </c>
      <c r="P62" s="3" t="str">
        <f t="shared" si="15"/>
        <v>MAR817EDD</v>
      </c>
      <c r="Q62" s="4" t="str">
        <f t="shared" si="10"/>
        <v/>
      </c>
      <c r="R62" s="4" t="str">
        <f t="shared" si="11"/>
        <v/>
      </c>
      <c r="S62" s="4" t="str">
        <f t="shared" si="7"/>
        <v>Motion 817</v>
      </c>
      <c r="T62" s="4" t="str">
        <f t="shared" si="12"/>
        <v/>
      </c>
      <c r="U62" s="4" t="str">
        <f t="shared" si="13"/>
        <v/>
      </c>
    </row>
    <row r="63" spans="1:21" x14ac:dyDescent="0.25">
      <c r="A63">
        <v>76</v>
      </c>
      <c r="B63" t="s">
        <v>16</v>
      </c>
      <c r="C63" t="s">
        <v>125</v>
      </c>
      <c r="D63" t="s">
        <v>126</v>
      </c>
      <c r="F63" s="1" t="s">
        <v>19</v>
      </c>
      <c r="J63" s="2" t="s">
        <v>21</v>
      </c>
      <c r="M63" s="3" t="str">
        <f t="shared" si="14"/>
        <v/>
      </c>
      <c r="N63" s="3">
        <f t="shared" si="9"/>
        <v>1</v>
      </c>
      <c r="O63" s="3">
        <v>803</v>
      </c>
      <c r="P63" s="3" t="str">
        <f t="shared" si="15"/>
        <v>STU803AND</v>
      </c>
      <c r="Q63" s="4" t="str">
        <f t="shared" si="10"/>
        <v/>
      </c>
      <c r="R63" s="4" t="str">
        <f t="shared" si="11"/>
        <v/>
      </c>
      <c r="S63" s="4" t="str">
        <f t="shared" si="7"/>
        <v>Motion 803</v>
      </c>
      <c r="T63" s="4" t="str">
        <f t="shared" si="12"/>
        <v/>
      </c>
      <c r="U63" s="4" t="str">
        <f t="shared" si="13"/>
        <v/>
      </c>
    </row>
    <row r="64" spans="1:21" x14ac:dyDescent="0.25">
      <c r="A64">
        <v>77</v>
      </c>
      <c r="B64" t="s">
        <v>16</v>
      </c>
      <c r="C64" t="s">
        <v>102</v>
      </c>
      <c r="D64" t="s">
        <v>127</v>
      </c>
      <c r="K64" s="2" t="s">
        <v>29</v>
      </c>
      <c r="M64" s="3" t="str">
        <f t="shared" si="14"/>
        <v/>
      </c>
      <c r="N64" s="3">
        <f t="shared" si="9"/>
        <v>1</v>
      </c>
      <c r="O64" s="3">
        <v>699</v>
      </c>
      <c r="P64" s="3" t="str">
        <f t="shared" si="15"/>
        <v>LON699JAM</v>
      </c>
      <c r="Q64" s="4" t="str">
        <f t="shared" si="10"/>
        <v/>
      </c>
      <c r="R64" s="4" t="str">
        <f t="shared" si="11"/>
        <v/>
      </c>
      <c r="S64" s="4" t="str">
        <f t="shared" si="7"/>
        <v/>
      </c>
      <c r="T64" s="4" t="str">
        <f t="shared" si="12"/>
        <v>Motion 699</v>
      </c>
      <c r="U64" s="4" t="str">
        <f t="shared" si="13"/>
        <v/>
      </c>
    </row>
    <row r="65" spans="1:21" x14ac:dyDescent="0.25">
      <c r="A65">
        <v>78</v>
      </c>
      <c r="B65" t="s">
        <v>16</v>
      </c>
      <c r="C65" t="s">
        <v>100</v>
      </c>
      <c r="D65" t="s">
        <v>87</v>
      </c>
      <c r="F65" s="1" t="s">
        <v>19</v>
      </c>
      <c r="J65" s="2" t="s">
        <v>21</v>
      </c>
      <c r="M65" s="3" t="str">
        <f t="shared" si="14"/>
        <v/>
      </c>
      <c r="N65" s="3">
        <f t="shared" si="9"/>
        <v>1</v>
      </c>
      <c r="O65" s="3">
        <v>656</v>
      </c>
      <c r="P65" s="3" t="str">
        <f t="shared" si="15"/>
        <v>THO656RUS</v>
      </c>
      <c r="Q65" s="4" t="str">
        <f t="shared" si="10"/>
        <v/>
      </c>
      <c r="R65" s="4" t="str">
        <f t="shared" si="11"/>
        <v/>
      </c>
      <c r="S65" s="4" t="str">
        <f t="shared" si="7"/>
        <v>Motion 656</v>
      </c>
      <c r="T65" s="4" t="str">
        <f t="shared" si="12"/>
        <v/>
      </c>
      <c r="U65" s="4" t="str">
        <f t="shared" si="13"/>
        <v/>
      </c>
    </row>
    <row r="66" spans="1:21" x14ac:dyDescent="0.25">
      <c r="A66">
        <v>79</v>
      </c>
      <c r="B66" t="s">
        <v>16</v>
      </c>
      <c r="C66" t="s">
        <v>128</v>
      </c>
      <c r="D66" t="s">
        <v>129</v>
      </c>
      <c r="F66" s="1" t="s">
        <v>19</v>
      </c>
      <c r="J66" s="2" t="s">
        <v>21</v>
      </c>
      <c r="M66" s="3" t="str">
        <f t="shared" si="14"/>
        <v/>
      </c>
      <c r="N66" s="3">
        <f t="shared" ref="N66:N86" si="16">COUNTA(H66:L66)</f>
        <v>1</v>
      </c>
      <c r="O66" s="3">
        <v>651</v>
      </c>
      <c r="P66" s="3" t="str">
        <f t="shared" si="15"/>
        <v>KIR651JON</v>
      </c>
      <c r="Q66" s="4" t="str">
        <f t="shared" ref="Q66:Q86" si="17">IF(H66&lt;&gt;"", _xlfn.CONCAT("Motion ",IF($N66&gt;1,"5",""),$O66), "")</f>
        <v/>
      </c>
      <c r="R66" s="4" t="str">
        <f t="shared" ref="R66:R86" si="18">IF(I66&lt;&gt;"", _xlfn.CONCAT("Motion ",IF($N66&gt;1,"4",""),$O66), "")</f>
        <v/>
      </c>
      <c r="S66" s="4" t="str">
        <f t="shared" si="7"/>
        <v>Motion 651</v>
      </c>
      <c r="T66" s="4" t="str">
        <f t="shared" ref="T66:T86" si="19">IF(K66&lt;&gt;"", _xlfn.CONCAT("Motion ",IF($N66&gt;1,"2",""),$O66), "")</f>
        <v/>
      </c>
      <c r="U66" s="4" t="str">
        <f t="shared" ref="U66:U86" si="20">IF(L66&lt;&gt;"", _xlfn.CONCAT("Motion ",IF($N66&gt;1,"1",""),$O66), "")</f>
        <v/>
      </c>
    </row>
    <row r="67" spans="1:21" x14ac:dyDescent="0.25">
      <c r="A67">
        <v>80</v>
      </c>
      <c r="B67" t="s">
        <v>16</v>
      </c>
      <c r="C67" t="s">
        <v>130</v>
      </c>
      <c r="D67" t="s">
        <v>131</v>
      </c>
      <c r="F67" s="1" t="s">
        <v>19</v>
      </c>
      <c r="J67" s="2" t="s">
        <v>21</v>
      </c>
      <c r="M67" s="3" t="str">
        <f t="shared" ref="M67:M86" si="21">IF(A67-A66&lt;&gt;1,A67-A66,"")</f>
        <v/>
      </c>
      <c r="N67" s="3">
        <f t="shared" si="16"/>
        <v>1</v>
      </c>
      <c r="O67" s="3">
        <v>836</v>
      </c>
      <c r="P67" s="3" t="str">
        <f t="shared" si="15"/>
        <v>CRO836JIM</v>
      </c>
      <c r="Q67" s="4" t="str">
        <f t="shared" si="17"/>
        <v/>
      </c>
      <c r="R67" s="4" t="str">
        <f t="shared" si="18"/>
        <v/>
      </c>
      <c r="S67" s="4" t="str">
        <f t="shared" ref="S67:S86" si="22">IF(J67&lt;&gt;"", _xlfn.CONCAT("Motion ",$O67), "")</f>
        <v>Motion 836</v>
      </c>
      <c r="T67" s="4" t="str">
        <f t="shared" si="19"/>
        <v/>
      </c>
      <c r="U67" s="4" t="str">
        <f t="shared" si="20"/>
        <v/>
      </c>
    </row>
    <row r="68" spans="1:21" x14ac:dyDescent="0.25">
      <c r="A68">
        <v>81</v>
      </c>
      <c r="B68" t="s">
        <v>16</v>
      </c>
      <c r="C68" t="s">
        <v>18</v>
      </c>
      <c r="D68" t="s">
        <v>131</v>
      </c>
      <c r="E68" s="1" t="s">
        <v>19</v>
      </c>
      <c r="F68" s="1" t="s">
        <v>19</v>
      </c>
      <c r="J68" s="2" t="s">
        <v>21</v>
      </c>
      <c r="M68" s="3" t="str">
        <f t="shared" si="21"/>
        <v/>
      </c>
      <c r="N68" s="3">
        <f t="shared" si="16"/>
        <v>1</v>
      </c>
      <c r="O68" s="3">
        <v>818</v>
      </c>
      <c r="P68" s="3" t="str">
        <f t="shared" si="15"/>
        <v>CRO818GEO</v>
      </c>
      <c r="Q68" s="4" t="str">
        <f t="shared" si="17"/>
        <v/>
      </c>
      <c r="R68" s="4" t="str">
        <f t="shared" si="18"/>
        <v/>
      </c>
      <c r="S68" s="4" t="str">
        <f t="shared" si="22"/>
        <v>Motion 818</v>
      </c>
      <c r="T68" s="4" t="str">
        <f t="shared" si="19"/>
        <v/>
      </c>
      <c r="U68" s="4" t="str">
        <f t="shared" si="20"/>
        <v/>
      </c>
    </row>
    <row r="69" spans="1:21" x14ac:dyDescent="0.25">
      <c r="A69">
        <v>82</v>
      </c>
      <c r="B69" t="s">
        <v>16</v>
      </c>
      <c r="C69" t="s">
        <v>132</v>
      </c>
      <c r="D69" t="s">
        <v>131</v>
      </c>
      <c r="E69" s="1" t="s">
        <v>19</v>
      </c>
      <c r="F69" s="1" t="s">
        <v>19</v>
      </c>
      <c r="J69" s="2" t="s">
        <v>21</v>
      </c>
      <c r="M69" s="3" t="str">
        <f t="shared" si="21"/>
        <v/>
      </c>
      <c r="N69" s="3">
        <f t="shared" si="16"/>
        <v>1</v>
      </c>
      <c r="O69" s="3">
        <v>816</v>
      </c>
      <c r="P69" s="3" t="str">
        <f t="shared" si="15"/>
        <v>CRO816JAC</v>
      </c>
      <c r="Q69" s="4" t="str">
        <f t="shared" si="17"/>
        <v/>
      </c>
      <c r="R69" s="4" t="str">
        <f t="shared" si="18"/>
        <v/>
      </c>
      <c r="S69" s="4" t="str">
        <f t="shared" si="22"/>
        <v>Motion 816</v>
      </c>
      <c r="T69" s="4" t="str">
        <f t="shared" si="19"/>
        <v/>
      </c>
      <c r="U69" s="4" t="str">
        <f t="shared" si="20"/>
        <v/>
      </c>
    </row>
    <row r="70" spans="1:21" x14ac:dyDescent="0.25">
      <c r="A70">
        <v>83</v>
      </c>
      <c r="B70" t="s">
        <v>16</v>
      </c>
      <c r="C70" t="s">
        <v>60</v>
      </c>
      <c r="D70" t="s">
        <v>133</v>
      </c>
      <c r="F70" s="1" t="s">
        <v>19</v>
      </c>
      <c r="I70" s="2" t="s">
        <v>20</v>
      </c>
      <c r="J70" s="2" t="s">
        <v>21</v>
      </c>
      <c r="M70" s="3" t="str">
        <f t="shared" si="21"/>
        <v/>
      </c>
      <c r="N70" s="3">
        <f t="shared" si="16"/>
        <v>2</v>
      </c>
      <c r="O70" s="3">
        <v>942</v>
      </c>
      <c r="P70" s="3" t="str">
        <f t="shared" si="15"/>
        <v>NOR942SCO</v>
      </c>
      <c r="Q70" s="4" t="str">
        <f t="shared" si="17"/>
        <v/>
      </c>
      <c r="R70" s="4" t="str">
        <f t="shared" si="18"/>
        <v>Motion 4942</v>
      </c>
      <c r="S70" s="4" t="str">
        <f t="shared" si="22"/>
        <v>Motion 942</v>
      </c>
      <c r="T70" s="4" t="str">
        <f t="shared" si="19"/>
        <v/>
      </c>
      <c r="U70" s="4" t="str">
        <f t="shared" si="20"/>
        <v/>
      </c>
    </row>
    <row r="71" spans="1:21" x14ac:dyDescent="0.25">
      <c r="A71">
        <v>84</v>
      </c>
      <c r="B71" t="s">
        <v>16</v>
      </c>
      <c r="C71" t="s">
        <v>134</v>
      </c>
      <c r="D71" t="s">
        <v>135</v>
      </c>
      <c r="K71" s="2" t="s">
        <v>29</v>
      </c>
      <c r="M71" s="3" t="str">
        <f t="shared" si="21"/>
        <v/>
      </c>
      <c r="N71" s="3">
        <f t="shared" si="16"/>
        <v>1</v>
      </c>
      <c r="O71" s="3">
        <v>701</v>
      </c>
      <c r="P71" s="3" t="str">
        <f t="shared" si="15"/>
        <v>CAM701SEB</v>
      </c>
      <c r="Q71" s="4" t="str">
        <f t="shared" si="17"/>
        <v/>
      </c>
      <c r="R71" s="4" t="str">
        <f t="shared" si="18"/>
        <v/>
      </c>
      <c r="S71" s="4" t="str">
        <f t="shared" si="22"/>
        <v/>
      </c>
      <c r="T71" s="4" t="str">
        <f t="shared" si="19"/>
        <v>Motion 701</v>
      </c>
      <c r="U71" s="4" t="str">
        <f t="shared" si="20"/>
        <v/>
      </c>
    </row>
    <row r="72" spans="1:21" x14ac:dyDescent="0.25">
      <c r="A72">
        <v>85</v>
      </c>
      <c r="B72" t="s">
        <v>16</v>
      </c>
      <c r="C72" t="s">
        <v>93</v>
      </c>
      <c r="D72" t="s">
        <v>136</v>
      </c>
      <c r="F72" s="1" t="s">
        <v>35</v>
      </c>
      <c r="J72" s="2" t="s">
        <v>21</v>
      </c>
      <c r="M72" s="3" t="str">
        <f t="shared" si="21"/>
        <v/>
      </c>
      <c r="N72" s="3">
        <f t="shared" si="16"/>
        <v>1</v>
      </c>
      <c r="O72" s="3">
        <v>718</v>
      </c>
      <c r="P72" s="3" t="str">
        <f t="shared" si="15"/>
        <v>HIL718IAN</v>
      </c>
      <c r="Q72" s="4" t="str">
        <f t="shared" si="17"/>
        <v/>
      </c>
      <c r="R72" s="4" t="str">
        <f t="shared" si="18"/>
        <v/>
      </c>
      <c r="S72" s="4" t="str">
        <f t="shared" si="22"/>
        <v>Motion 718</v>
      </c>
      <c r="T72" s="4" t="str">
        <f t="shared" si="19"/>
        <v/>
      </c>
      <c r="U72" s="4" t="str">
        <f t="shared" si="20"/>
        <v/>
      </c>
    </row>
    <row r="73" spans="1:21" x14ac:dyDescent="0.25">
      <c r="A73">
        <v>86</v>
      </c>
      <c r="B73" t="s">
        <v>16</v>
      </c>
      <c r="C73" t="s">
        <v>67</v>
      </c>
      <c r="D73" t="s">
        <v>137</v>
      </c>
      <c r="F73" s="1" t="s">
        <v>19</v>
      </c>
      <c r="I73" s="2" t="s">
        <v>20</v>
      </c>
      <c r="J73" s="2" t="s">
        <v>21</v>
      </c>
      <c r="M73" s="3" t="str">
        <f t="shared" si="21"/>
        <v/>
      </c>
      <c r="N73" s="3">
        <f t="shared" si="16"/>
        <v>2</v>
      </c>
      <c r="O73" s="3">
        <v>833</v>
      </c>
      <c r="P73" s="3" t="str">
        <f t="shared" si="15"/>
        <v>TWI833AND</v>
      </c>
      <c r="Q73" s="4" t="str">
        <f t="shared" si="17"/>
        <v/>
      </c>
      <c r="R73" s="4" t="str">
        <f t="shared" si="18"/>
        <v>Motion 4833</v>
      </c>
      <c r="S73" s="4" t="str">
        <f t="shared" si="22"/>
        <v>Motion 833</v>
      </c>
      <c r="T73" s="4" t="str">
        <f t="shared" si="19"/>
        <v/>
      </c>
      <c r="U73" s="4" t="str">
        <f t="shared" si="20"/>
        <v/>
      </c>
    </row>
    <row r="74" spans="1:21" x14ac:dyDescent="0.25">
      <c r="A74">
        <v>87</v>
      </c>
      <c r="B74" t="s">
        <v>16</v>
      </c>
      <c r="C74" t="s">
        <v>138</v>
      </c>
      <c r="D74" t="s">
        <v>139</v>
      </c>
      <c r="F74" s="1" t="s">
        <v>35</v>
      </c>
      <c r="J74" s="2" t="s">
        <v>21</v>
      </c>
      <c r="M74" s="3" t="str">
        <f t="shared" si="21"/>
        <v/>
      </c>
      <c r="N74" s="3">
        <f t="shared" si="16"/>
        <v>1</v>
      </c>
      <c r="O74" s="3">
        <v>811</v>
      </c>
      <c r="P74" s="3" t="str">
        <f t="shared" si="15"/>
        <v>HUM811TIM</v>
      </c>
      <c r="Q74" s="4" t="str">
        <f t="shared" si="17"/>
        <v/>
      </c>
      <c r="R74" s="4" t="str">
        <f t="shared" si="18"/>
        <v/>
      </c>
      <c r="S74" s="4" t="str">
        <f t="shared" si="22"/>
        <v>Motion 811</v>
      </c>
      <c r="T74" s="4" t="str">
        <f t="shared" si="19"/>
        <v/>
      </c>
      <c r="U74" s="4" t="str">
        <f t="shared" si="20"/>
        <v/>
      </c>
    </row>
    <row r="75" spans="1:21" x14ac:dyDescent="0.25">
      <c r="A75">
        <v>88</v>
      </c>
      <c r="B75" t="s">
        <v>16</v>
      </c>
      <c r="C75" t="s">
        <v>113</v>
      </c>
      <c r="D75" t="s">
        <v>140</v>
      </c>
      <c r="F75" s="1" t="s">
        <v>19</v>
      </c>
      <c r="G75" s="1">
        <v>1002</v>
      </c>
      <c r="J75" s="2" t="s">
        <v>21</v>
      </c>
      <c r="M75" s="3" t="str">
        <f t="shared" si="21"/>
        <v/>
      </c>
      <c r="N75" s="3">
        <f t="shared" si="16"/>
        <v>1</v>
      </c>
      <c r="O75" s="11">
        <f>G75</f>
        <v>1002</v>
      </c>
      <c r="P75" s="3" t="str">
        <f t="shared" ref="P75:P86" si="23">UPPER(_xlfn.CONCAT(LEFT(D75,3),O75,LEFT(C75,3)))</f>
        <v>GOO1002GAR</v>
      </c>
      <c r="Q75" s="4" t="str">
        <f t="shared" si="17"/>
        <v/>
      </c>
      <c r="R75" s="4" t="str">
        <f t="shared" si="18"/>
        <v/>
      </c>
      <c r="S75" s="4" t="str">
        <f t="shared" si="22"/>
        <v>Motion 1002</v>
      </c>
      <c r="T75" s="4" t="str">
        <f t="shared" si="19"/>
        <v/>
      </c>
      <c r="U75" s="4" t="str">
        <f t="shared" si="20"/>
        <v/>
      </c>
    </row>
    <row r="76" spans="1:21" x14ac:dyDescent="0.25">
      <c r="A76">
        <v>89</v>
      </c>
      <c r="B76" t="s">
        <v>16</v>
      </c>
      <c r="C76" t="s">
        <v>141</v>
      </c>
      <c r="D76" t="s">
        <v>142</v>
      </c>
      <c r="F76" s="1" t="s">
        <v>19</v>
      </c>
      <c r="J76" s="2" t="s">
        <v>21</v>
      </c>
      <c r="M76" s="3" t="str">
        <f t="shared" si="21"/>
        <v/>
      </c>
      <c r="N76" s="3">
        <f t="shared" si="16"/>
        <v>1</v>
      </c>
      <c r="O76" s="3">
        <v>647</v>
      </c>
      <c r="P76" s="3" t="str">
        <f t="shared" si="23"/>
        <v>WHA647TRE</v>
      </c>
      <c r="Q76" s="4" t="str">
        <f t="shared" si="17"/>
        <v/>
      </c>
      <c r="R76" s="4" t="str">
        <f t="shared" si="18"/>
        <v/>
      </c>
      <c r="S76" s="4" t="str">
        <f t="shared" si="22"/>
        <v>Motion 647</v>
      </c>
      <c r="T76" s="4" t="str">
        <f t="shared" si="19"/>
        <v/>
      </c>
      <c r="U76" s="4" t="str">
        <f t="shared" si="20"/>
        <v/>
      </c>
    </row>
    <row r="77" spans="1:21" x14ac:dyDescent="0.25">
      <c r="A77">
        <v>90</v>
      </c>
      <c r="B77" t="s">
        <v>16</v>
      </c>
      <c r="C77" t="s">
        <v>105</v>
      </c>
      <c r="D77" t="s">
        <v>143</v>
      </c>
      <c r="E77" s="1" t="s">
        <v>19</v>
      </c>
      <c r="F77" s="1" t="s">
        <v>35</v>
      </c>
      <c r="J77" s="2" t="s">
        <v>21</v>
      </c>
      <c r="M77" s="3" t="str">
        <f t="shared" si="21"/>
        <v/>
      </c>
      <c r="N77" s="3">
        <f t="shared" si="16"/>
        <v>1</v>
      </c>
      <c r="O77" s="3">
        <v>1040</v>
      </c>
      <c r="P77" s="3" t="str">
        <f t="shared" si="23"/>
        <v>KIE1040OLI</v>
      </c>
      <c r="Q77" s="4" t="str">
        <f t="shared" si="17"/>
        <v/>
      </c>
      <c r="R77" s="4" t="str">
        <f t="shared" si="18"/>
        <v/>
      </c>
      <c r="S77" s="4" t="str">
        <f t="shared" si="22"/>
        <v>Motion 1040</v>
      </c>
      <c r="T77" s="4" t="str">
        <f t="shared" si="19"/>
        <v/>
      </c>
      <c r="U77" s="4" t="str">
        <f t="shared" si="20"/>
        <v/>
      </c>
    </row>
    <row r="78" spans="1:21" x14ac:dyDescent="0.25">
      <c r="A78">
        <v>91</v>
      </c>
      <c r="B78" t="s">
        <v>16</v>
      </c>
      <c r="C78" t="s">
        <v>144</v>
      </c>
      <c r="D78" t="s">
        <v>145</v>
      </c>
      <c r="F78" s="1" t="s">
        <v>19</v>
      </c>
      <c r="G78" s="1">
        <v>676</v>
      </c>
      <c r="J78" s="2" t="s">
        <v>21</v>
      </c>
      <c r="M78" s="3" t="str">
        <f t="shared" si="21"/>
        <v/>
      </c>
      <c r="N78" s="3">
        <f t="shared" si="16"/>
        <v>1</v>
      </c>
      <c r="O78" s="11">
        <f>G78</f>
        <v>676</v>
      </c>
      <c r="P78" s="3" t="str">
        <f t="shared" si="23"/>
        <v>NEA676IAI</v>
      </c>
      <c r="Q78" s="4" t="str">
        <f t="shared" si="17"/>
        <v/>
      </c>
      <c r="R78" s="4" t="str">
        <f t="shared" si="18"/>
        <v/>
      </c>
      <c r="S78" s="4" t="str">
        <f t="shared" si="22"/>
        <v>Motion 676</v>
      </c>
      <c r="T78" s="4" t="str">
        <f t="shared" si="19"/>
        <v/>
      </c>
      <c r="U78" s="4" t="str">
        <f t="shared" si="20"/>
        <v/>
      </c>
    </row>
    <row r="79" spans="1:21" x14ac:dyDescent="0.25">
      <c r="A79">
        <v>92</v>
      </c>
      <c r="B79" t="s">
        <v>16</v>
      </c>
      <c r="C79" t="s">
        <v>146</v>
      </c>
      <c r="D79" t="s">
        <v>147</v>
      </c>
      <c r="K79" s="2" t="s">
        <v>29</v>
      </c>
      <c r="M79" s="3" t="str">
        <f t="shared" si="21"/>
        <v/>
      </c>
      <c r="N79" s="3">
        <f t="shared" si="16"/>
        <v>1</v>
      </c>
      <c r="O79" s="3">
        <v>660</v>
      </c>
      <c r="P79" s="3" t="str">
        <f t="shared" si="23"/>
        <v>CAR660MAR</v>
      </c>
      <c r="Q79" s="4" t="str">
        <f t="shared" si="17"/>
        <v/>
      </c>
      <c r="R79" s="4" t="str">
        <f t="shared" si="18"/>
        <v/>
      </c>
      <c r="S79" s="4" t="str">
        <f t="shared" si="22"/>
        <v/>
      </c>
      <c r="T79" s="4" t="str">
        <f t="shared" si="19"/>
        <v>Motion 660</v>
      </c>
      <c r="U79" s="4" t="str">
        <f t="shared" si="20"/>
        <v/>
      </c>
    </row>
    <row r="80" spans="1:21" x14ac:dyDescent="0.25">
      <c r="A80">
        <v>93</v>
      </c>
      <c r="B80" t="s">
        <v>16</v>
      </c>
      <c r="C80" t="s">
        <v>148</v>
      </c>
      <c r="D80" t="s">
        <v>149</v>
      </c>
      <c r="F80" s="1" t="s">
        <v>19</v>
      </c>
      <c r="G80" s="1">
        <v>704</v>
      </c>
      <c r="J80" s="2" t="s">
        <v>21</v>
      </c>
      <c r="M80" s="3" t="str">
        <f t="shared" si="21"/>
        <v/>
      </c>
      <c r="N80" s="3">
        <f t="shared" si="16"/>
        <v>1</v>
      </c>
      <c r="O80" s="11">
        <f>G80</f>
        <v>704</v>
      </c>
      <c r="P80" s="3" t="str">
        <f t="shared" si="23"/>
        <v>VER704SHA</v>
      </c>
      <c r="Q80" s="4" t="str">
        <f t="shared" si="17"/>
        <v/>
      </c>
      <c r="R80" s="4" t="str">
        <f t="shared" si="18"/>
        <v/>
      </c>
      <c r="S80" s="4" t="str">
        <f t="shared" si="22"/>
        <v>Motion 704</v>
      </c>
      <c r="T80" s="4" t="str">
        <f t="shared" si="19"/>
        <v/>
      </c>
      <c r="U80" s="4" t="str">
        <f t="shared" si="20"/>
        <v/>
      </c>
    </row>
    <row r="81" spans="1:21" x14ac:dyDescent="0.25">
      <c r="A81">
        <v>94</v>
      </c>
      <c r="B81" t="s">
        <v>16</v>
      </c>
      <c r="C81" t="s">
        <v>85</v>
      </c>
      <c r="D81" t="s">
        <v>150</v>
      </c>
      <c r="F81" s="1" t="s">
        <v>35</v>
      </c>
      <c r="J81" s="2" t="s">
        <v>21</v>
      </c>
      <c r="M81" s="3" t="str">
        <f t="shared" si="21"/>
        <v/>
      </c>
      <c r="N81" s="3">
        <f t="shared" si="16"/>
        <v>1</v>
      </c>
      <c r="O81" s="3">
        <v>661</v>
      </c>
      <c r="P81" s="3" t="str">
        <f t="shared" si="23"/>
        <v>BRA661PAU</v>
      </c>
      <c r="Q81" s="4" t="str">
        <f t="shared" si="17"/>
        <v/>
      </c>
      <c r="R81" s="4" t="str">
        <f t="shared" si="18"/>
        <v/>
      </c>
      <c r="S81" s="4" t="str">
        <f t="shared" si="22"/>
        <v>Motion 661</v>
      </c>
      <c r="T81" s="4" t="str">
        <f t="shared" si="19"/>
        <v/>
      </c>
      <c r="U81" s="4" t="str">
        <f t="shared" si="20"/>
        <v/>
      </c>
    </row>
    <row r="82" spans="1:21" x14ac:dyDescent="0.25">
      <c r="A82">
        <v>96</v>
      </c>
      <c r="B82" t="s">
        <v>16</v>
      </c>
      <c r="C82" t="s">
        <v>151</v>
      </c>
      <c r="D82" t="s">
        <v>152</v>
      </c>
      <c r="F82" s="1" t="s">
        <v>35</v>
      </c>
      <c r="I82" s="2" t="s">
        <v>20</v>
      </c>
      <c r="J82" s="2" t="s">
        <v>21</v>
      </c>
      <c r="M82" s="12">
        <f t="shared" si="21"/>
        <v>2</v>
      </c>
      <c r="N82" s="3">
        <f t="shared" si="16"/>
        <v>2</v>
      </c>
      <c r="O82" s="3">
        <v>866</v>
      </c>
      <c r="P82" s="3" t="str">
        <f t="shared" si="23"/>
        <v>CRO866ALL</v>
      </c>
      <c r="Q82" s="4" t="str">
        <f t="shared" si="17"/>
        <v/>
      </c>
      <c r="R82" s="4" t="str">
        <f t="shared" si="18"/>
        <v>Motion 4866</v>
      </c>
      <c r="S82" s="4" t="str">
        <f t="shared" si="22"/>
        <v>Motion 866</v>
      </c>
      <c r="T82" s="4" t="str">
        <f t="shared" si="19"/>
        <v/>
      </c>
      <c r="U82" s="4" t="str">
        <f t="shared" si="20"/>
        <v/>
      </c>
    </row>
    <row r="83" spans="1:21" x14ac:dyDescent="0.25">
      <c r="A83">
        <v>97</v>
      </c>
      <c r="B83" t="s">
        <v>16</v>
      </c>
      <c r="C83" t="s">
        <v>153</v>
      </c>
      <c r="D83" t="s">
        <v>154</v>
      </c>
      <c r="E83" s="1" t="s">
        <v>19</v>
      </c>
      <c r="F83" s="1" t="s">
        <v>19</v>
      </c>
      <c r="H83" s="2" t="s">
        <v>40</v>
      </c>
      <c r="M83" s="3" t="str">
        <f t="shared" si="21"/>
        <v/>
      </c>
      <c r="N83" s="3">
        <f t="shared" si="16"/>
        <v>1</v>
      </c>
      <c r="O83" s="3">
        <v>825</v>
      </c>
      <c r="P83" s="3" t="str">
        <f t="shared" si="23"/>
        <v>MIL825JAY</v>
      </c>
      <c r="Q83" s="4" t="str">
        <f t="shared" si="17"/>
        <v>Motion 825</v>
      </c>
      <c r="R83" s="4" t="str">
        <f t="shared" si="18"/>
        <v/>
      </c>
      <c r="S83" s="4" t="str">
        <f t="shared" si="22"/>
        <v/>
      </c>
      <c r="T83" s="4" t="str">
        <f t="shared" si="19"/>
        <v/>
      </c>
      <c r="U83" s="4" t="str">
        <f t="shared" si="20"/>
        <v/>
      </c>
    </row>
    <row r="84" spans="1:21" x14ac:dyDescent="0.25">
      <c r="A84">
        <v>98</v>
      </c>
      <c r="B84" t="s">
        <v>16</v>
      </c>
      <c r="C84" t="s">
        <v>99</v>
      </c>
      <c r="D84" t="s">
        <v>155</v>
      </c>
      <c r="F84" s="1" t="s">
        <v>35</v>
      </c>
      <c r="J84" s="2" t="s">
        <v>21</v>
      </c>
      <c r="M84" s="3" t="str">
        <f t="shared" si="21"/>
        <v/>
      </c>
      <c r="N84" s="3">
        <f t="shared" si="16"/>
        <v>1</v>
      </c>
      <c r="O84" s="3">
        <v>633</v>
      </c>
      <c r="P84" s="3" t="str">
        <f t="shared" si="23"/>
        <v>PEN633ROB</v>
      </c>
      <c r="Q84" s="4" t="str">
        <f t="shared" si="17"/>
        <v/>
      </c>
      <c r="R84" s="4" t="str">
        <f t="shared" si="18"/>
        <v/>
      </c>
      <c r="S84" s="4" t="str">
        <f t="shared" si="22"/>
        <v>Motion 633</v>
      </c>
      <c r="T84" s="4" t="str">
        <f t="shared" si="19"/>
        <v/>
      </c>
      <c r="U84" s="4" t="str">
        <f t="shared" si="20"/>
        <v/>
      </c>
    </row>
    <row r="85" spans="1:21" x14ac:dyDescent="0.25">
      <c r="A85">
        <v>99</v>
      </c>
      <c r="B85" t="s">
        <v>16</v>
      </c>
      <c r="C85" t="s">
        <v>76</v>
      </c>
      <c r="D85" t="s">
        <v>156</v>
      </c>
      <c r="F85" s="1" t="s">
        <v>35</v>
      </c>
      <c r="J85" s="2" t="s">
        <v>21</v>
      </c>
      <c r="K85" s="2" t="s">
        <v>29</v>
      </c>
      <c r="M85" s="3" t="str">
        <f t="shared" si="21"/>
        <v/>
      </c>
      <c r="N85" s="3">
        <f t="shared" si="16"/>
        <v>2</v>
      </c>
      <c r="O85" s="3">
        <v>695</v>
      </c>
      <c r="P85" s="3" t="str">
        <f t="shared" si="23"/>
        <v>DAV695STE</v>
      </c>
      <c r="Q85" s="4" t="str">
        <f t="shared" si="17"/>
        <v/>
      </c>
      <c r="R85" s="4" t="str">
        <f t="shared" si="18"/>
        <v/>
      </c>
      <c r="S85" s="4" t="str">
        <f t="shared" si="22"/>
        <v>Motion 695</v>
      </c>
      <c r="T85" s="4" t="str">
        <f t="shared" si="19"/>
        <v>Motion 2695</v>
      </c>
      <c r="U85" s="4" t="str">
        <f t="shared" si="20"/>
        <v/>
      </c>
    </row>
    <row r="86" spans="1:21" x14ac:dyDescent="0.25">
      <c r="A86">
        <v>100</v>
      </c>
      <c r="B86" t="s">
        <v>16</v>
      </c>
      <c r="C86" t="s">
        <v>157</v>
      </c>
      <c r="D86" t="s">
        <v>158</v>
      </c>
      <c r="E86" s="1" t="s">
        <v>19</v>
      </c>
      <c r="F86" s="1" t="s">
        <v>35</v>
      </c>
      <c r="J86" s="2" t="s">
        <v>21</v>
      </c>
      <c r="M86" s="3" t="str">
        <f t="shared" si="21"/>
        <v/>
      </c>
      <c r="N86" s="3">
        <f t="shared" si="16"/>
        <v>1</v>
      </c>
      <c r="O86" s="3">
        <v>823</v>
      </c>
      <c r="P86" s="3" t="str">
        <f t="shared" si="23"/>
        <v>VIC823MIT</v>
      </c>
      <c r="Q86" s="4" t="str">
        <f t="shared" si="17"/>
        <v/>
      </c>
      <c r="R86" s="4" t="str">
        <f t="shared" si="18"/>
        <v/>
      </c>
      <c r="S86" s="4" t="str">
        <f t="shared" si="22"/>
        <v>Motion 823</v>
      </c>
      <c r="T86" s="4" t="str">
        <f t="shared" si="19"/>
        <v/>
      </c>
      <c r="U86" s="4" t="str">
        <f t="shared" si="20"/>
        <v/>
      </c>
    </row>
  </sheetData>
  <autoFilter ref="A1:U86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55B16-A584-4DC9-9954-AFD12940DB0D}">
  <dimension ref="A1:F86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.28515625" style="1" customWidth="1"/>
    <col min="2" max="2" width="20.42578125" style="1" bestFit="1" customWidth="1"/>
    <col min="3" max="3" width="24.140625" style="1" bestFit="1" customWidth="1"/>
    <col min="4" max="4" width="23.5703125" style="1" bestFit="1" customWidth="1"/>
    <col min="5" max="5" width="19.28515625" style="1" bestFit="1" customWidth="1"/>
    <col min="6" max="6" width="14.5703125" style="1" bestFit="1" customWidth="1"/>
  </cols>
  <sheetData>
    <row r="1" spans="1:6" s="14" customFormat="1" x14ac:dyDescent="0.25">
      <c r="A1" s="13" t="s">
        <v>0</v>
      </c>
      <c r="B1" s="13" t="s">
        <v>7</v>
      </c>
      <c r="C1" s="13" t="s">
        <v>8</v>
      </c>
      <c r="D1" s="13" t="s">
        <v>9</v>
      </c>
      <c r="E1" s="13" t="s">
        <v>10</v>
      </c>
      <c r="F1" s="13" t="s">
        <v>11</v>
      </c>
    </row>
    <row r="2" spans="1:6" x14ac:dyDescent="0.25">
      <c r="A2" s="1">
        <v>13</v>
      </c>
      <c r="B2" s="1" t="s">
        <v>159</v>
      </c>
      <c r="C2" s="1" t="s">
        <v>160</v>
      </c>
      <c r="D2" s="1" t="s">
        <v>161</v>
      </c>
      <c r="E2" s="1" t="s">
        <v>159</v>
      </c>
      <c r="F2" s="1" t="s">
        <v>159</v>
      </c>
    </row>
    <row r="3" spans="1:6" x14ac:dyDescent="0.25">
      <c r="A3" s="1">
        <v>14</v>
      </c>
      <c r="B3" s="1" t="s">
        <v>159</v>
      </c>
      <c r="C3" s="1" t="s">
        <v>162</v>
      </c>
      <c r="D3" s="1" t="s">
        <v>163</v>
      </c>
      <c r="E3" s="1" t="s">
        <v>159</v>
      </c>
      <c r="F3" s="1" t="s">
        <v>159</v>
      </c>
    </row>
    <row r="4" spans="1:6" x14ac:dyDescent="0.25">
      <c r="A4" s="1">
        <v>15</v>
      </c>
      <c r="B4" s="1" t="s">
        <v>159</v>
      </c>
      <c r="C4" s="1" t="s">
        <v>164</v>
      </c>
      <c r="D4" s="1" t="s">
        <v>165</v>
      </c>
      <c r="E4" s="1" t="s">
        <v>159</v>
      </c>
      <c r="F4" s="1" t="s">
        <v>159</v>
      </c>
    </row>
    <row r="5" spans="1:6" x14ac:dyDescent="0.25">
      <c r="A5" s="1">
        <v>16</v>
      </c>
      <c r="B5" s="1" t="s">
        <v>159</v>
      </c>
      <c r="C5" s="1" t="s">
        <v>159</v>
      </c>
      <c r="D5" s="1" t="s">
        <v>159</v>
      </c>
      <c r="E5" s="1" t="s">
        <v>166</v>
      </c>
      <c r="F5" s="1" t="s">
        <v>159</v>
      </c>
    </row>
    <row r="6" spans="1:6" x14ac:dyDescent="0.25">
      <c r="A6" s="1">
        <v>17</v>
      </c>
      <c r="B6" s="1" t="s">
        <v>159</v>
      </c>
      <c r="C6" s="1" t="s">
        <v>159</v>
      </c>
      <c r="D6" s="1" t="s">
        <v>159</v>
      </c>
      <c r="E6" s="1" t="s">
        <v>167</v>
      </c>
      <c r="F6" s="1" t="s">
        <v>159</v>
      </c>
    </row>
    <row r="7" spans="1:6" x14ac:dyDescent="0.25">
      <c r="A7" s="1">
        <v>18</v>
      </c>
      <c r="B7" s="1" t="s">
        <v>159</v>
      </c>
      <c r="C7" s="1" t="s">
        <v>168</v>
      </c>
      <c r="D7" s="1" t="s">
        <v>169</v>
      </c>
      <c r="E7" s="1" t="s">
        <v>159</v>
      </c>
      <c r="F7" s="1" t="s">
        <v>159</v>
      </c>
    </row>
    <row r="8" spans="1:6" x14ac:dyDescent="0.25">
      <c r="A8" s="1">
        <v>19</v>
      </c>
      <c r="B8" s="1" t="s">
        <v>159</v>
      </c>
      <c r="C8" s="1" t="s">
        <v>159</v>
      </c>
      <c r="D8" s="1" t="s">
        <v>170</v>
      </c>
      <c r="E8" s="1" t="s">
        <v>159</v>
      </c>
      <c r="F8" s="1" t="s">
        <v>159</v>
      </c>
    </row>
    <row r="9" spans="1:6" x14ac:dyDescent="0.25">
      <c r="A9" s="1">
        <v>20</v>
      </c>
      <c r="B9" s="1" t="s">
        <v>171</v>
      </c>
      <c r="C9" s="1" t="s">
        <v>159</v>
      </c>
      <c r="D9" s="1" t="s">
        <v>159</v>
      </c>
      <c r="E9" s="1" t="s">
        <v>159</v>
      </c>
      <c r="F9" s="1" t="s">
        <v>159</v>
      </c>
    </row>
    <row r="10" spans="1:6" x14ac:dyDescent="0.25">
      <c r="A10" s="1">
        <v>21</v>
      </c>
      <c r="B10" s="1" t="s">
        <v>159</v>
      </c>
      <c r="C10" s="1" t="s">
        <v>159</v>
      </c>
      <c r="D10" s="1" t="s">
        <v>172</v>
      </c>
      <c r="E10" s="1" t="s">
        <v>159</v>
      </c>
      <c r="F10" s="1" t="s">
        <v>159</v>
      </c>
    </row>
    <row r="11" spans="1:6" x14ac:dyDescent="0.25">
      <c r="A11" s="1">
        <v>22</v>
      </c>
      <c r="B11" s="1" t="s">
        <v>159</v>
      </c>
      <c r="C11" s="1" t="s">
        <v>173</v>
      </c>
      <c r="D11" s="1" t="s">
        <v>174</v>
      </c>
      <c r="E11" s="1" t="s">
        <v>159</v>
      </c>
      <c r="F11" s="1" t="s">
        <v>159</v>
      </c>
    </row>
    <row r="12" spans="1:6" x14ac:dyDescent="0.25">
      <c r="A12" s="1">
        <v>23</v>
      </c>
      <c r="B12" s="1" t="s">
        <v>159</v>
      </c>
      <c r="C12" s="1" t="s">
        <v>159</v>
      </c>
      <c r="D12" s="1" t="s">
        <v>175</v>
      </c>
      <c r="E12" s="1" t="s">
        <v>159</v>
      </c>
      <c r="F12" s="1" t="s">
        <v>159</v>
      </c>
    </row>
    <row r="13" spans="1:6" x14ac:dyDescent="0.25">
      <c r="A13" s="1">
        <v>24</v>
      </c>
      <c r="B13" s="1" t="s">
        <v>176</v>
      </c>
      <c r="C13" s="1" t="s">
        <v>159</v>
      </c>
      <c r="D13" s="1" t="s">
        <v>159</v>
      </c>
      <c r="E13" s="1" t="s">
        <v>159</v>
      </c>
      <c r="F13" s="1" t="s">
        <v>159</v>
      </c>
    </row>
    <row r="14" spans="1:6" x14ac:dyDescent="0.25">
      <c r="A14" s="1">
        <v>25</v>
      </c>
      <c r="B14" s="1" t="s">
        <v>159</v>
      </c>
      <c r="C14" s="1" t="s">
        <v>159</v>
      </c>
      <c r="D14" s="1" t="s">
        <v>177</v>
      </c>
      <c r="E14" s="1" t="s">
        <v>159</v>
      </c>
      <c r="F14" s="1" t="s">
        <v>159</v>
      </c>
    </row>
    <row r="15" spans="1:6" x14ac:dyDescent="0.25">
      <c r="A15" s="1">
        <v>26</v>
      </c>
      <c r="B15" s="1" t="s">
        <v>159</v>
      </c>
      <c r="C15" s="1" t="s">
        <v>178</v>
      </c>
      <c r="D15" s="1" t="s">
        <v>179</v>
      </c>
      <c r="E15" s="1" t="s">
        <v>159</v>
      </c>
      <c r="F15" s="1" t="s">
        <v>159</v>
      </c>
    </row>
    <row r="16" spans="1:6" x14ac:dyDescent="0.25">
      <c r="A16" s="1">
        <v>27</v>
      </c>
      <c r="B16" s="1" t="s">
        <v>180</v>
      </c>
      <c r="C16" s="1" t="s">
        <v>159</v>
      </c>
      <c r="D16" s="1" t="s">
        <v>159</v>
      </c>
      <c r="E16" s="1" t="s">
        <v>159</v>
      </c>
      <c r="F16" s="1" t="s">
        <v>159</v>
      </c>
    </row>
    <row r="17" spans="1:6" x14ac:dyDescent="0.25">
      <c r="A17" s="1">
        <v>28</v>
      </c>
      <c r="B17" s="1" t="s">
        <v>159</v>
      </c>
      <c r="C17" s="1" t="s">
        <v>159</v>
      </c>
      <c r="D17" s="1" t="s">
        <v>181</v>
      </c>
      <c r="E17" s="1" t="s">
        <v>159</v>
      </c>
      <c r="F17" s="1" t="s">
        <v>159</v>
      </c>
    </row>
    <row r="18" spans="1:6" x14ac:dyDescent="0.25">
      <c r="A18" s="1">
        <v>29</v>
      </c>
      <c r="B18" s="1" t="s">
        <v>159</v>
      </c>
      <c r="C18" s="1" t="s">
        <v>159</v>
      </c>
      <c r="D18" s="1" t="s">
        <v>182</v>
      </c>
      <c r="E18" s="1" t="s">
        <v>159</v>
      </c>
      <c r="F18" s="1" t="s">
        <v>159</v>
      </c>
    </row>
    <row r="19" spans="1:6" x14ac:dyDescent="0.25">
      <c r="A19" s="1">
        <v>30</v>
      </c>
      <c r="B19" s="1" t="s">
        <v>159</v>
      </c>
      <c r="C19" s="1" t="s">
        <v>183</v>
      </c>
      <c r="D19" s="1" t="s">
        <v>184</v>
      </c>
      <c r="E19" s="1" t="s">
        <v>159</v>
      </c>
      <c r="F19" s="1" t="s">
        <v>159</v>
      </c>
    </row>
    <row r="20" spans="1:6" x14ac:dyDescent="0.25">
      <c r="A20" s="1">
        <v>31</v>
      </c>
      <c r="B20" s="1" t="s">
        <v>159</v>
      </c>
      <c r="C20" s="1" t="s">
        <v>159</v>
      </c>
      <c r="D20" s="1" t="s">
        <v>185</v>
      </c>
      <c r="E20" s="1" t="s">
        <v>159</v>
      </c>
      <c r="F20" s="1" t="s">
        <v>159</v>
      </c>
    </row>
    <row r="21" spans="1:6" x14ac:dyDescent="0.25">
      <c r="A21" s="1">
        <v>32</v>
      </c>
      <c r="B21" s="1" t="s">
        <v>159</v>
      </c>
      <c r="C21" s="1" t="s">
        <v>159</v>
      </c>
      <c r="D21" s="1" t="s">
        <v>186</v>
      </c>
      <c r="E21" s="1" t="s">
        <v>159</v>
      </c>
      <c r="F21" s="1" t="s">
        <v>159</v>
      </c>
    </row>
    <row r="22" spans="1:6" x14ac:dyDescent="0.25">
      <c r="A22" s="1">
        <v>33</v>
      </c>
      <c r="B22" s="1" t="s">
        <v>159</v>
      </c>
      <c r="C22" s="1" t="s">
        <v>187</v>
      </c>
      <c r="D22" s="1" t="s">
        <v>188</v>
      </c>
      <c r="E22" s="1" t="s">
        <v>159</v>
      </c>
      <c r="F22" s="1" t="s">
        <v>159</v>
      </c>
    </row>
    <row r="23" spans="1:6" x14ac:dyDescent="0.25">
      <c r="A23" s="1">
        <v>34</v>
      </c>
      <c r="B23" s="1" t="s">
        <v>159</v>
      </c>
      <c r="C23" s="1" t="s">
        <v>189</v>
      </c>
      <c r="D23" s="1" t="s">
        <v>190</v>
      </c>
      <c r="E23" s="1" t="s">
        <v>159</v>
      </c>
      <c r="F23" s="1" t="s">
        <v>159</v>
      </c>
    </row>
    <row r="24" spans="1:6" x14ac:dyDescent="0.25">
      <c r="A24" s="1">
        <v>35</v>
      </c>
      <c r="B24" s="1" t="s">
        <v>159</v>
      </c>
      <c r="C24" s="1" t="s">
        <v>159</v>
      </c>
      <c r="D24" s="1" t="s">
        <v>191</v>
      </c>
      <c r="E24" s="1" t="s">
        <v>159</v>
      </c>
      <c r="F24" s="1" t="s">
        <v>159</v>
      </c>
    </row>
    <row r="25" spans="1:6" x14ac:dyDescent="0.25">
      <c r="A25" s="1">
        <v>36</v>
      </c>
      <c r="B25" s="1" t="s">
        <v>159</v>
      </c>
      <c r="C25" s="1" t="s">
        <v>192</v>
      </c>
      <c r="D25" s="1" t="s">
        <v>193</v>
      </c>
      <c r="E25" s="1" t="s">
        <v>159</v>
      </c>
      <c r="F25" s="1" t="s">
        <v>159</v>
      </c>
    </row>
    <row r="26" spans="1:6" x14ac:dyDescent="0.25">
      <c r="A26" s="1">
        <v>37</v>
      </c>
      <c r="B26" s="1" t="s">
        <v>159</v>
      </c>
      <c r="C26" s="1" t="s">
        <v>159</v>
      </c>
      <c r="D26" s="1" t="s">
        <v>194</v>
      </c>
      <c r="E26" s="1" t="s">
        <v>159</v>
      </c>
      <c r="F26" s="1" t="s">
        <v>159</v>
      </c>
    </row>
    <row r="27" spans="1:6" x14ac:dyDescent="0.25">
      <c r="A27" s="1">
        <v>38</v>
      </c>
      <c r="B27" s="1" t="s">
        <v>159</v>
      </c>
      <c r="C27" s="1" t="s">
        <v>159</v>
      </c>
      <c r="D27" s="1" t="s">
        <v>195</v>
      </c>
      <c r="E27" s="1" t="s">
        <v>159</v>
      </c>
      <c r="F27" s="1" t="s">
        <v>159</v>
      </c>
    </row>
    <row r="28" spans="1:6" x14ac:dyDescent="0.25">
      <c r="A28" s="1">
        <v>39</v>
      </c>
      <c r="B28" s="1" t="s">
        <v>196</v>
      </c>
      <c r="C28" s="1" t="s">
        <v>159</v>
      </c>
      <c r="D28" s="1" t="s">
        <v>159</v>
      </c>
      <c r="E28" s="1" t="s">
        <v>159</v>
      </c>
      <c r="F28" s="1" t="s">
        <v>159</v>
      </c>
    </row>
    <row r="29" spans="1:6" x14ac:dyDescent="0.25">
      <c r="A29" s="1">
        <v>40</v>
      </c>
      <c r="B29" s="1" t="s">
        <v>159</v>
      </c>
      <c r="C29" s="1" t="s">
        <v>159</v>
      </c>
      <c r="D29" s="1" t="s">
        <v>197</v>
      </c>
      <c r="E29" s="1" t="s">
        <v>159</v>
      </c>
      <c r="F29" s="1" t="s">
        <v>159</v>
      </c>
    </row>
    <row r="30" spans="1:6" x14ac:dyDescent="0.25">
      <c r="A30" s="1">
        <v>41</v>
      </c>
      <c r="B30" s="1" t="s">
        <v>159</v>
      </c>
      <c r="C30" s="1" t="s">
        <v>159</v>
      </c>
      <c r="D30" s="1" t="s">
        <v>198</v>
      </c>
      <c r="E30" s="1" t="s">
        <v>159</v>
      </c>
      <c r="F30" s="1" t="s">
        <v>159</v>
      </c>
    </row>
    <row r="31" spans="1:6" x14ac:dyDescent="0.25">
      <c r="A31" s="1">
        <v>42</v>
      </c>
      <c r="B31" s="1" t="s">
        <v>159</v>
      </c>
      <c r="C31" s="1" t="s">
        <v>159</v>
      </c>
      <c r="D31" s="1" t="s">
        <v>199</v>
      </c>
      <c r="E31" s="1" t="s">
        <v>159</v>
      </c>
      <c r="F31" s="1" t="s">
        <v>159</v>
      </c>
    </row>
    <row r="32" spans="1:6" x14ac:dyDescent="0.25">
      <c r="A32" s="1">
        <v>43</v>
      </c>
      <c r="B32" s="1" t="s">
        <v>159</v>
      </c>
      <c r="C32" s="1" t="s">
        <v>159</v>
      </c>
      <c r="D32" s="1" t="s">
        <v>200</v>
      </c>
      <c r="E32" s="1" t="s">
        <v>159</v>
      </c>
      <c r="F32" s="1" t="s">
        <v>159</v>
      </c>
    </row>
    <row r="33" spans="1:6" x14ac:dyDescent="0.25">
      <c r="A33" s="1">
        <v>44</v>
      </c>
      <c r="B33" s="1" t="s">
        <v>159</v>
      </c>
      <c r="C33" s="1" t="s">
        <v>201</v>
      </c>
      <c r="D33" s="1" t="s">
        <v>202</v>
      </c>
      <c r="E33" s="1" t="s">
        <v>159</v>
      </c>
      <c r="F33" s="1" t="s">
        <v>159</v>
      </c>
    </row>
    <row r="34" spans="1:6" x14ac:dyDescent="0.25">
      <c r="A34" s="1">
        <v>45</v>
      </c>
      <c r="B34" s="1" t="s">
        <v>159</v>
      </c>
      <c r="C34" s="1" t="s">
        <v>159</v>
      </c>
      <c r="D34" s="1" t="s">
        <v>203</v>
      </c>
      <c r="E34" s="1" t="s">
        <v>159</v>
      </c>
      <c r="F34" s="1" t="s">
        <v>159</v>
      </c>
    </row>
    <row r="35" spans="1:6" x14ac:dyDescent="0.25">
      <c r="A35" s="1">
        <v>46</v>
      </c>
      <c r="B35" s="1" t="s">
        <v>159</v>
      </c>
      <c r="C35" s="1" t="s">
        <v>204</v>
      </c>
      <c r="D35" s="1" t="s">
        <v>205</v>
      </c>
      <c r="E35" s="1" t="s">
        <v>159</v>
      </c>
      <c r="F35" s="1" t="s">
        <v>159</v>
      </c>
    </row>
    <row r="36" spans="1:6" x14ac:dyDescent="0.25">
      <c r="A36" s="1">
        <v>47</v>
      </c>
      <c r="B36" s="1" t="s">
        <v>159</v>
      </c>
      <c r="C36" s="1" t="s">
        <v>159</v>
      </c>
      <c r="D36" s="1" t="s">
        <v>206</v>
      </c>
      <c r="E36" s="1" t="s">
        <v>159</v>
      </c>
      <c r="F36" s="1" t="s">
        <v>159</v>
      </c>
    </row>
    <row r="37" spans="1:6" x14ac:dyDescent="0.25">
      <c r="A37" s="1">
        <v>48</v>
      </c>
      <c r="B37" s="1" t="s">
        <v>159</v>
      </c>
      <c r="C37" s="1" t="s">
        <v>159</v>
      </c>
      <c r="D37" s="1" t="s">
        <v>207</v>
      </c>
      <c r="E37" s="1" t="s">
        <v>159</v>
      </c>
      <c r="F37" s="1" t="s">
        <v>159</v>
      </c>
    </row>
    <row r="38" spans="1:6" x14ac:dyDescent="0.25">
      <c r="A38" s="1">
        <v>49</v>
      </c>
      <c r="B38" s="1" t="s">
        <v>159</v>
      </c>
      <c r="C38" s="1" t="s">
        <v>159</v>
      </c>
      <c r="D38" s="1" t="s">
        <v>208</v>
      </c>
      <c r="E38" s="1" t="s">
        <v>159</v>
      </c>
      <c r="F38" s="1" t="s">
        <v>159</v>
      </c>
    </row>
    <row r="39" spans="1:6" x14ac:dyDescent="0.25">
      <c r="A39" s="1">
        <v>50</v>
      </c>
      <c r="B39" s="1" t="s">
        <v>159</v>
      </c>
      <c r="C39" s="1" t="s">
        <v>159</v>
      </c>
      <c r="D39" s="1" t="s">
        <v>209</v>
      </c>
      <c r="E39" s="1" t="s">
        <v>159</v>
      </c>
      <c r="F39" s="1" t="s">
        <v>159</v>
      </c>
    </row>
    <row r="40" spans="1:6" x14ac:dyDescent="0.25">
      <c r="A40" s="1">
        <v>51</v>
      </c>
      <c r="B40" s="1" t="s">
        <v>159</v>
      </c>
      <c r="C40" s="1" t="s">
        <v>159</v>
      </c>
      <c r="D40" s="1" t="s">
        <v>210</v>
      </c>
      <c r="E40" s="1" t="s">
        <v>159</v>
      </c>
      <c r="F40" s="1" t="s">
        <v>159</v>
      </c>
    </row>
    <row r="41" spans="1:6" x14ac:dyDescent="0.25">
      <c r="A41" s="1">
        <v>52</v>
      </c>
      <c r="B41" s="1" t="s">
        <v>159</v>
      </c>
      <c r="C41" s="1" t="s">
        <v>159</v>
      </c>
      <c r="D41" s="1" t="s">
        <v>211</v>
      </c>
      <c r="E41" s="1" t="s">
        <v>159</v>
      </c>
      <c r="F41" s="1" t="s">
        <v>159</v>
      </c>
    </row>
    <row r="42" spans="1:6" x14ac:dyDescent="0.25">
      <c r="A42" s="1">
        <v>53</v>
      </c>
      <c r="B42" s="1" t="s">
        <v>159</v>
      </c>
      <c r="C42" s="1" t="s">
        <v>159</v>
      </c>
      <c r="D42" s="1" t="s">
        <v>212</v>
      </c>
      <c r="E42" s="1" t="s">
        <v>159</v>
      </c>
      <c r="F42" s="1" t="s">
        <v>159</v>
      </c>
    </row>
    <row r="43" spans="1:6" x14ac:dyDescent="0.25">
      <c r="A43" s="1">
        <v>54</v>
      </c>
      <c r="B43" s="1" t="s">
        <v>213</v>
      </c>
      <c r="C43" s="1" t="s">
        <v>159</v>
      </c>
      <c r="D43" s="1" t="s">
        <v>159</v>
      </c>
      <c r="E43" s="1" t="s">
        <v>159</v>
      </c>
      <c r="F43" s="1" t="s">
        <v>159</v>
      </c>
    </row>
    <row r="44" spans="1:6" x14ac:dyDescent="0.25">
      <c r="A44" s="1">
        <v>55</v>
      </c>
      <c r="B44" s="1" t="s">
        <v>159</v>
      </c>
      <c r="C44" s="1" t="s">
        <v>159</v>
      </c>
      <c r="D44" s="1" t="s">
        <v>159</v>
      </c>
      <c r="E44" s="1" t="s">
        <v>214</v>
      </c>
      <c r="F44" s="1" t="s">
        <v>159</v>
      </c>
    </row>
    <row r="45" spans="1:6" x14ac:dyDescent="0.25">
      <c r="A45" s="1">
        <v>56</v>
      </c>
      <c r="B45" s="1" t="s">
        <v>159</v>
      </c>
      <c r="C45" s="1" t="s">
        <v>215</v>
      </c>
      <c r="D45" s="1" t="s">
        <v>216</v>
      </c>
      <c r="E45" s="1" t="s">
        <v>159</v>
      </c>
      <c r="F45" s="1" t="s">
        <v>159</v>
      </c>
    </row>
    <row r="46" spans="1:6" x14ac:dyDescent="0.25">
      <c r="A46" s="1">
        <v>57</v>
      </c>
      <c r="B46" s="1" t="s">
        <v>159</v>
      </c>
      <c r="C46" s="1" t="s">
        <v>159</v>
      </c>
      <c r="D46" s="1" t="s">
        <v>265</v>
      </c>
      <c r="E46" s="1" t="s">
        <v>159</v>
      </c>
      <c r="F46" s="1" t="s">
        <v>217</v>
      </c>
    </row>
    <row r="47" spans="1:6" x14ac:dyDescent="0.25">
      <c r="A47" s="1">
        <v>58</v>
      </c>
      <c r="B47" s="1" t="s">
        <v>159</v>
      </c>
      <c r="C47" s="1" t="s">
        <v>159</v>
      </c>
      <c r="D47" s="1" t="s">
        <v>218</v>
      </c>
      <c r="E47" s="1" t="s">
        <v>159</v>
      </c>
      <c r="F47" s="1" t="s">
        <v>159</v>
      </c>
    </row>
    <row r="48" spans="1:6" x14ac:dyDescent="0.25">
      <c r="A48" s="1">
        <v>59</v>
      </c>
      <c r="B48" s="1" t="s">
        <v>159</v>
      </c>
      <c r="C48" s="1" t="s">
        <v>159</v>
      </c>
      <c r="D48" s="1" t="s">
        <v>219</v>
      </c>
      <c r="E48" s="1" t="s">
        <v>159</v>
      </c>
      <c r="F48" s="1" t="s">
        <v>159</v>
      </c>
    </row>
    <row r="49" spans="1:6" x14ac:dyDescent="0.25">
      <c r="A49" s="1">
        <v>60</v>
      </c>
      <c r="B49" s="1" t="s">
        <v>159</v>
      </c>
      <c r="C49" s="1" t="s">
        <v>159</v>
      </c>
      <c r="D49" s="1" t="s">
        <v>220</v>
      </c>
      <c r="E49" s="1" t="s">
        <v>159</v>
      </c>
      <c r="F49" s="1" t="s">
        <v>159</v>
      </c>
    </row>
    <row r="50" spans="1:6" x14ac:dyDescent="0.25">
      <c r="A50" s="1">
        <v>61</v>
      </c>
      <c r="B50" s="1" t="s">
        <v>159</v>
      </c>
      <c r="C50" s="1" t="s">
        <v>159</v>
      </c>
      <c r="D50" s="1" t="s">
        <v>159</v>
      </c>
      <c r="E50" s="1" t="s">
        <v>159</v>
      </c>
      <c r="F50" s="1" t="s">
        <v>221</v>
      </c>
    </row>
    <row r="51" spans="1:6" x14ac:dyDescent="0.25">
      <c r="A51" s="1">
        <v>63</v>
      </c>
      <c r="B51" s="1" t="s">
        <v>222</v>
      </c>
      <c r="C51" s="1" t="s">
        <v>159</v>
      </c>
      <c r="D51" s="1" t="s">
        <v>159</v>
      </c>
      <c r="E51" s="1" t="s">
        <v>159</v>
      </c>
      <c r="F51" s="1" t="s">
        <v>159</v>
      </c>
    </row>
    <row r="52" spans="1:6" x14ac:dyDescent="0.25">
      <c r="A52" s="1">
        <v>64</v>
      </c>
      <c r="B52" s="1" t="s">
        <v>223</v>
      </c>
      <c r="C52" s="1" t="s">
        <v>159</v>
      </c>
      <c r="D52" s="1" t="s">
        <v>159</v>
      </c>
      <c r="E52" s="1" t="s">
        <v>159</v>
      </c>
      <c r="F52" s="1" t="s">
        <v>159</v>
      </c>
    </row>
    <row r="53" spans="1:6" x14ac:dyDescent="0.25">
      <c r="A53" s="1">
        <v>65</v>
      </c>
      <c r="B53" s="1" t="s">
        <v>224</v>
      </c>
      <c r="C53" s="1" t="s">
        <v>159</v>
      </c>
      <c r="D53" s="1" t="s">
        <v>159</v>
      </c>
      <c r="E53" s="1" t="s">
        <v>159</v>
      </c>
      <c r="F53" s="1" t="s">
        <v>159</v>
      </c>
    </row>
    <row r="54" spans="1:6" x14ac:dyDescent="0.25">
      <c r="A54" s="1">
        <v>66</v>
      </c>
      <c r="B54" s="1" t="s">
        <v>225</v>
      </c>
      <c r="C54" s="1" t="s">
        <v>159</v>
      </c>
      <c r="D54" s="1" t="s">
        <v>159</v>
      </c>
      <c r="E54" s="1" t="s">
        <v>159</v>
      </c>
      <c r="F54" s="1" t="s">
        <v>159</v>
      </c>
    </row>
    <row r="55" spans="1:6" x14ac:dyDescent="0.25">
      <c r="A55" s="1">
        <v>67</v>
      </c>
      <c r="B55" s="1" t="s">
        <v>159</v>
      </c>
      <c r="C55" s="1" t="s">
        <v>226</v>
      </c>
      <c r="D55" s="1" t="s">
        <v>227</v>
      </c>
      <c r="E55" s="1" t="s">
        <v>159</v>
      </c>
      <c r="F55" s="1" t="s">
        <v>159</v>
      </c>
    </row>
    <row r="56" spans="1:6" x14ac:dyDescent="0.25">
      <c r="A56" s="1">
        <v>68</v>
      </c>
      <c r="B56" s="1" t="s">
        <v>159</v>
      </c>
      <c r="C56" s="1" t="s">
        <v>228</v>
      </c>
      <c r="D56" s="1" t="s">
        <v>229</v>
      </c>
      <c r="E56" s="1" t="s">
        <v>159</v>
      </c>
      <c r="F56" s="1" t="s">
        <v>159</v>
      </c>
    </row>
    <row r="57" spans="1:6" x14ac:dyDescent="0.25">
      <c r="A57" s="1">
        <v>69</v>
      </c>
      <c r="B57" s="1" t="s">
        <v>159</v>
      </c>
      <c r="C57" s="1" t="s">
        <v>159</v>
      </c>
      <c r="D57" s="1" t="s">
        <v>230</v>
      </c>
      <c r="E57" s="1" t="s">
        <v>159</v>
      </c>
      <c r="F57" s="1" t="s">
        <v>159</v>
      </c>
    </row>
    <row r="58" spans="1:6" x14ac:dyDescent="0.25">
      <c r="A58" s="1">
        <v>70</v>
      </c>
      <c r="B58" s="1" t="s">
        <v>231</v>
      </c>
      <c r="C58" s="1" t="s">
        <v>159</v>
      </c>
      <c r="D58" s="1" t="s">
        <v>159</v>
      </c>
      <c r="E58" s="1" t="s">
        <v>232</v>
      </c>
      <c r="F58" s="1" t="s">
        <v>159</v>
      </c>
    </row>
    <row r="59" spans="1:6" x14ac:dyDescent="0.25">
      <c r="A59" s="1">
        <v>71</v>
      </c>
      <c r="B59" s="1" t="s">
        <v>159</v>
      </c>
      <c r="C59" s="1" t="s">
        <v>159</v>
      </c>
      <c r="D59" s="1" t="s">
        <v>233</v>
      </c>
      <c r="E59" s="1" t="s">
        <v>159</v>
      </c>
      <c r="F59" s="1" t="s">
        <v>159</v>
      </c>
    </row>
    <row r="60" spans="1:6" x14ac:dyDescent="0.25">
      <c r="A60" s="1">
        <v>72</v>
      </c>
      <c r="B60" s="1" t="s">
        <v>234</v>
      </c>
      <c r="C60" s="1" t="s">
        <v>159</v>
      </c>
      <c r="D60" s="1" t="s">
        <v>159</v>
      </c>
      <c r="E60" s="1" t="s">
        <v>159</v>
      </c>
      <c r="F60" s="1" t="s">
        <v>159</v>
      </c>
    </row>
    <row r="61" spans="1:6" x14ac:dyDescent="0.25">
      <c r="A61" s="1">
        <v>73</v>
      </c>
      <c r="B61" s="1" t="s">
        <v>159</v>
      </c>
      <c r="C61" s="1" t="s">
        <v>235</v>
      </c>
      <c r="D61" s="1" t="s">
        <v>236</v>
      </c>
      <c r="E61" s="1" t="s">
        <v>159</v>
      </c>
      <c r="F61" s="1" t="s">
        <v>159</v>
      </c>
    </row>
    <row r="62" spans="1:6" x14ac:dyDescent="0.25">
      <c r="A62" s="1">
        <v>75</v>
      </c>
      <c r="B62" s="1" t="s">
        <v>159</v>
      </c>
      <c r="C62" s="1" t="s">
        <v>159</v>
      </c>
      <c r="D62" s="1" t="s">
        <v>237</v>
      </c>
      <c r="E62" s="1" t="s">
        <v>159</v>
      </c>
      <c r="F62" s="1" t="s">
        <v>159</v>
      </c>
    </row>
    <row r="63" spans="1:6" x14ac:dyDescent="0.25">
      <c r="A63" s="1">
        <v>76</v>
      </c>
      <c r="B63" s="1" t="s">
        <v>159</v>
      </c>
      <c r="C63" s="1" t="s">
        <v>159</v>
      </c>
      <c r="D63" s="1" t="s">
        <v>238</v>
      </c>
      <c r="E63" s="1" t="s">
        <v>159</v>
      </c>
      <c r="F63" s="1" t="s">
        <v>159</v>
      </c>
    </row>
    <row r="64" spans="1:6" x14ac:dyDescent="0.25">
      <c r="A64" s="1">
        <v>77</v>
      </c>
      <c r="B64" s="1" t="s">
        <v>159</v>
      </c>
      <c r="C64" s="1" t="s">
        <v>159</v>
      </c>
      <c r="D64" s="1" t="s">
        <v>159</v>
      </c>
      <c r="E64" s="1" t="s">
        <v>239</v>
      </c>
      <c r="F64" s="1" t="s">
        <v>159</v>
      </c>
    </row>
    <row r="65" spans="1:6" x14ac:dyDescent="0.25">
      <c r="A65" s="1">
        <v>78</v>
      </c>
      <c r="B65" s="1" t="s">
        <v>159</v>
      </c>
      <c r="C65" s="1" t="s">
        <v>159</v>
      </c>
      <c r="D65" s="1" t="s">
        <v>240</v>
      </c>
      <c r="E65" s="1" t="s">
        <v>159</v>
      </c>
      <c r="F65" s="1" t="s">
        <v>159</v>
      </c>
    </row>
    <row r="66" spans="1:6" x14ac:dyDescent="0.25">
      <c r="A66" s="1">
        <v>79</v>
      </c>
      <c r="B66" s="1" t="s">
        <v>159</v>
      </c>
      <c r="C66" s="1" t="s">
        <v>159</v>
      </c>
      <c r="D66" s="1" t="s">
        <v>241</v>
      </c>
      <c r="E66" s="1" t="s">
        <v>159</v>
      </c>
      <c r="F66" s="1" t="s">
        <v>159</v>
      </c>
    </row>
    <row r="67" spans="1:6" x14ac:dyDescent="0.25">
      <c r="A67" s="1">
        <v>80</v>
      </c>
      <c r="B67" s="1" t="s">
        <v>159</v>
      </c>
      <c r="C67" s="1" t="s">
        <v>159</v>
      </c>
      <c r="D67" s="1" t="s">
        <v>242</v>
      </c>
      <c r="E67" s="1" t="s">
        <v>159</v>
      </c>
      <c r="F67" s="1" t="s">
        <v>159</v>
      </c>
    </row>
    <row r="68" spans="1:6" x14ac:dyDescent="0.25">
      <c r="A68" s="1">
        <v>81</v>
      </c>
      <c r="B68" s="1" t="s">
        <v>159</v>
      </c>
      <c r="C68" s="1" t="s">
        <v>159</v>
      </c>
      <c r="D68" s="1" t="s">
        <v>243</v>
      </c>
      <c r="E68" s="1" t="s">
        <v>159</v>
      </c>
      <c r="F68" s="1" t="s">
        <v>159</v>
      </c>
    </row>
    <row r="69" spans="1:6" x14ac:dyDescent="0.25">
      <c r="A69" s="1">
        <v>82</v>
      </c>
      <c r="B69" s="1" t="s">
        <v>159</v>
      </c>
      <c r="C69" s="1" t="s">
        <v>159</v>
      </c>
      <c r="D69" s="1" t="s">
        <v>244</v>
      </c>
      <c r="E69" s="1" t="s">
        <v>159</v>
      </c>
      <c r="F69" s="1" t="s">
        <v>159</v>
      </c>
    </row>
    <row r="70" spans="1:6" x14ac:dyDescent="0.25">
      <c r="A70" s="1">
        <v>83</v>
      </c>
      <c r="B70" s="1" t="s">
        <v>159</v>
      </c>
      <c r="C70" s="1" t="s">
        <v>245</v>
      </c>
      <c r="D70" s="1" t="s">
        <v>246</v>
      </c>
      <c r="E70" s="1" t="s">
        <v>159</v>
      </c>
      <c r="F70" s="1" t="s">
        <v>159</v>
      </c>
    </row>
    <row r="71" spans="1:6" x14ac:dyDescent="0.25">
      <c r="A71" s="1">
        <v>84</v>
      </c>
      <c r="B71" s="1" t="s">
        <v>159</v>
      </c>
      <c r="C71" s="1" t="s">
        <v>159</v>
      </c>
      <c r="D71" s="1" t="s">
        <v>159</v>
      </c>
      <c r="E71" s="1" t="s">
        <v>247</v>
      </c>
      <c r="F71" s="1" t="s">
        <v>159</v>
      </c>
    </row>
    <row r="72" spans="1:6" x14ac:dyDescent="0.25">
      <c r="A72" s="1">
        <v>85</v>
      </c>
      <c r="B72" s="1" t="s">
        <v>159</v>
      </c>
      <c r="C72" s="1" t="s">
        <v>159</v>
      </c>
      <c r="D72" s="1" t="s">
        <v>248</v>
      </c>
      <c r="E72" s="1" t="s">
        <v>159</v>
      </c>
      <c r="F72" s="1" t="s">
        <v>159</v>
      </c>
    </row>
    <row r="73" spans="1:6" x14ac:dyDescent="0.25">
      <c r="A73" s="1">
        <v>86</v>
      </c>
      <c r="B73" s="1" t="s">
        <v>159</v>
      </c>
      <c r="C73" s="1" t="s">
        <v>249</v>
      </c>
      <c r="D73" s="1" t="s">
        <v>250</v>
      </c>
      <c r="E73" s="1" t="s">
        <v>159</v>
      </c>
      <c r="F73" s="1" t="s">
        <v>159</v>
      </c>
    </row>
    <row r="74" spans="1:6" x14ac:dyDescent="0.25">
      <c r="A74" s="1">
        <v>87</v>
      </c>
      <c r="B74" s="1" t="s">
        <v>159</v>
      </c>
      <c r="C74" s="1" t="s">
        <v>159</v>
      </c>
      <c r="D74" s="1" t="s">
        <v>251</v>
      </c>
      <c r="E74" s="1" t="s">
        <v>159</v>
      </c>
      <c r="F74" s="1" t="s">
        <v>159</v>
      </c>
    </row>
    <row r="75" spans="1:6" x14ac:dyDescent="0.25">
      <c r="A75" s="1">
        <v>88</v>
      </c>
      <c r="B75" s="1" t="s">
        <v>159</v>
      </c>
      <c r="C75" s="1" t="s">
        <v>159</v>
      </c>
      <c r="D75" s="1" t="s">
        <v>252</v>
      </c>
      <c r="E75" s="1" t="s">
        <v>159</v>
      </c>
      <c r="F75" s="1" t="s">
        <v>159</v>
      </c>
    </row>
    <row r="76" spans="1:6" x14ac:dyDescent="0.25">
      <c r="A76" s="1">
        <v>89</v>
      </c>
      <c r="B76" s="1" t="s">
        <v>159</v>
      </c>
      <c r="C76" s="1" t="s">
        <v>159</v>
      </c>
      <c r="D76" s="1" t="s">
        <v>253</v>
      </c>
      <c r="E76" s="1" t="s">
        <v>159</v>
      </c>
      <c r="F76" s="1" t="s">
        <v>159</v>
      </c>
    </row>
    <row r="77" spans="1:6" x14ac:dyDescent="0.25">
      <c r="A77" s="1">
        <v>90</v>
      </c>
      <c r="B77" s="1" t="s">
        <v>159</v>
      </c>
      <c r="C77" s="1" t="s">
        <v>159</v>
      </c>
      <c r="D77" s="1" t="s">
        <v>254</v>
      </c>
      <c r="E77" s="1" t="s">
        <v>159</v>
      </c>
      <c r="F77" s="1" t="s">
        <v>159</v>
      </c>
    </row>
    <row r="78" spans="1:6" x14ac:dyDescent="0.25">
      <c r="A78" s="1">
        <v>91</v>
      </c>
      <c r="B78" s="1" t="s">
        <v>159</v>
      </c>
      <c r="C78" s="1" t="s">
        <v>159</v>
      </c>
      <c r="D78" s="1" t="s">
        <v>255</v>
      </c>
      <c r="E78" s="1" t="s">
        <v>159</v>
      </c>
      <c r="F78" s="1" t="s">
        <v>159</v>
      </c>
    </row>
    <row r="79" spans="1:6" x14ac:dyDescent="0.25">
      <c r="A79" s="1">
        <v>92</v>
      </c>
      <c r="B79" s="1" t="s">
        <v>159</v>
      </c>
      <c r="C79" s="1" t="s">
        <v>159</v>
      </c>
      <c r="D79" s="1" t="s">
        <v>159</v>
      </c>
      <c r="E79" s="1" t="s">
        <v>256</v>
      </c>
      <c r="F79" s="1" t="s">
        <v>159</v>
      </c>
    </row>
    <row r="80" spans="1:6" x14ac:dyDescent="0.25">
      <c r="A80" s="1">
        <v>93</v>
      </c>
      <c r="B80" s="1" t="s">
        <v>159</v>
      </c>
      <c r="C80" s="1" t="s">
        <v>159</v>
      </c>
      <c r="D80" s="1" t="s">
        <v>257</v>
      </c>
      <c r="E80" s="1" t="s">
        <v>159</v>
      </c>
      <c r="F80" s="1" t="s">
        <v>159</v>
      </c>
    </row>
    <row r="81" spans="1:6" x14ac:dyDescent="0.25">
      <c r="A81" s="1">
        <v>94</v>
      </c>
      <c r="B81" s="1" t="s">
        <v>159</v>
      </c>
      <c r="C81" s="1" t="s">
        <v>159</v>
      </c>
      <c r="D81" s="1" t="s">
        <v>258</v>
      </c>
      <c r="E81" s="1" t="s">
        <v>159</v>
      </c>
      <c r="F81" s="1" t="s">
        <v>159</v>
      </c>
    </row>
    <row r="82" spans="1:6" x14ac:dyDescent="0.25">
      <c r="A82" s="1">
        <v>96</v>
      </c>
      <c r="B82" s="1" t="s">
        <v>159</v>
      </c>
      <c r="C82" s="1" t="s">
        <v>259</v>
      </c>
      <c r="D82" s="1" t="s">
        <v>260</v>
      </c>
      <c r="E82" s="1" t="s">
        <v>159</v>
      </c>
      <c r="F82" s="1" t="s">
        <v>159</v>
      </c>
    </row>
    <row r="83" spans="1:6" x14ac:dyDescent="0.25">
      <c r="A83" s="1">
        <v>97</v>
      </c>
      <c r="B83" s="1" t="s">
        <v>261</v>
      </c>
      <c r="C83" s="1" t="s">
        <v>159</v>
      </c>
      <c r="D83" s="1" t="s">
        <v>159</v>
      </c>
      <c r="E83" s="1" t="s">
        <v>159</v>
      </c>
      <c r="F83" s="1" t="s">
        <v>159</v>
      </c>
    </row>
    <row r="84" spans="1:6" x14ac:dyDescent="0.25">
      <c r="A84" s="1">
        <v>98</v>
      </c>
      <c r="B84" s="1" t="s">
        <v>159</v>
      </c>
      <c r="C84" s="1" t="s">
        <v>159</v>
      </c>
      <c r="D84" s="1" t="s">
        <v>262</v>
      </c>
      <c r="E84" s="1" t="s">
        <v>159</v>
      </c>
      <c r="F84" s="1" t="s">
        <v>159</v>
      </c>
    </row>
    <row r="85" spans="1:6" x14ac:dyDescent="0.25">
      <c r="A85" s="1">
        <v>99</v>
      </c>
      <c r="B85" s="1" t="s">
        <v>159</v>
      </c>
      <c r="C85" s="1" t="s">
        <v>159</v>
      </c>
      <c r="D85" s="1" t="s">
        <v>266</v>
      </c>
      <c r="E85" s="1" t="s">
        <v>263</v>
      </c>
      <c r="F85" s="1" t="s">
        <v>159</v>
      </c>
    </row>
    <row r="86" spans="1:6" x14ac:dyDescent="0.25">
      <c r="A86" s="1">
        <v>100</v>
      </c>
      <c r="B86" s="1" t="s">
        <v>159</v>
      </c>
      <c r="C86" s="1" t="s">
        <v>159</v>
      </c>
      <c r="D86" s="1" t="s">
        <v>264</v>
      </c>
      <c r="E86" s="1" t="s">
        <v>159</v>
      </c>
      <c r="F86" s="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motions</vt:lpstr>
      <vt:lpstr>scratch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Michael George</cp:lastModifiedBy>
  <cp:revision>8</cp:revision>
  <dcterms:created xsi:type="dcterms:W3CDTF">2026-09-25T08:15:24Z</dcterms:created>
  <dcterms:modified xsi:type="dcterms:W3CDTF">2026-09-27T07:20:05Z</dcterms:modified>
  <dc:language>en-GB</dc:language>
</cp:coreProperties>
</file>