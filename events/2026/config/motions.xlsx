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928C45FB-A1A4-4893-A90C-F7FD3660B78D}" xr6:coauthVersionLast="47" xr6:coauthVersionMax="47" xr10:uidLastSave="{00000000-0000-0000-0000-000000000000}"/>
  <bookViews>
    <workbookView xWindow="-120" yWindow="-120" windowWidth="29040" windowHeight="15720" xr2:uid="{EF5FBE02-F020-4937-8353-2CA7CA3A0870}"/>
  </bookViews>
  <sheets>
    <sheet name="motions" sheetId="1" r:id="rId1"/>
  </sheets>
  <definedNames>
    <definedName name="_xlnm._FilterDatabase" localSheetId="0" hidden="1">motions!$A$1:$U$86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3" i="1" l="1"/>
  <c r="S79" i="1"/>
  <c r="S71" i="1"/>
  <c r="S64" i="1"/>
  <c r="S60" i="1"/>
  <c r="S58" i="1"/>
  <c r="S54" i="1"/>
  <c r="S53" i="1"/>
  <c r="S52" i="1"/>
  <c r="S51" i="1"/>
  <c r="S50" i="1"/>
  <c r="S44" i="1"/>
  <c r="S43" i="1"/>
  <c r="S28" i="1"/>
  <c r="S16" i="1"/>
  <c r="S13" i="1"/>
  <c r="S9" i="1"/>
  <c r="S6" i="1"/>
  <c r="S5" i="1"/>
  <c r="O80" i="1"/>
  <c r="O78" i="1"/>
  <c r="P78" i="1" s="1"/>
  <c r="O75" i="1"/>
  <c r="O59" i="1"/>
  <c r="O44" i="1"/>
  <c r="P44" i="1" s="1"/>
  <c r="O36" i="1"/>
  <c r="O28" i="1"/>
  <c r="P28" i="1" s="1"/>
  <c r="U86" i="1"/>
  <c r="T86" i="1"/>
  <c r="R86" i="1"/>
  <c r="Q86" i="1"/>
  <c r="U85" i="1"/>
  <c r="R85" i="1"/>
  <c r="Q85" i="1"/>
  <c r="U84" i="1"/>
  <c r="T84" i="1"/>
  <c r="R84" i="1"/>
  <c r="Q84" i="1"/>
  <c r="U83" i="1"/>
  <c r="T83" i="1"/>
  <c r="R83" i="1"/>
  <c r="U82" i="1"/>
  <c r="T82" i="1"/>
  <c r="Q82" i="1"/>
  <c r="U81" i="1"/>
  <c r="T81" i="1"/>
  <c r="R81" i="1"/>
  <c r="Q81" i="1"/>
  <c r="U80" i="1"/>
  <c r="T80" i="1"/>
  <c r="R80" i="1"/>
  <c r="Q80" i="1"/>
  <c r="U79" i="1"/>
  <c r="R79" i="1"/>
  <c r="Q79" i="1"/>
  <c r="U78" i="1"/>
  <c r="T78" i="1"/>
  <c r="R78" i="1"/>
  <c r="Q78" i="1"/>
  <c r="U77" i="1"/>
  <c r="T77" i="1"/>
  <c r="R77" i="1"/>
  <c r="Q77" i="1"/>
  <c r="U76" i="1"/>
  <c r="T76" i="1"/>
  <c r="R76" i="1"/>
  <c r="Q76" i="1"/>
  <c r="U75" i="1"/>
  <c r="T75" i="1"/>
  <c r="R75" i="1"/>
  <c r="Q75" i="1"/>
  <c r="U74" i="1"/>
  <c r="T74" i="1"/>
  <c r="R74" i="1"/>
  <c r="Q74" i="1"/>
  <c r="U73" i="1"/>
  <c r="T73" i="1"/>
  <c r="Q73" i="1"/>
  <c r="U72" i="1"/>
  <c r="T72" i="1"/>
  <c r="R72" i="1"/>
  <c r="Q72" i="1"/>
  <c r="U71" i="1"/>
  <c r="R71" i="1"/>
  <c r="Q71" i="1"/>
  <c r="U70" i="1"/>
  <c r="T70" i="1"/>
  <c r="Q70" i="1"/>
  <c r="U69" i="1"/>
  <c r="T69" i="1"/>
  <c r="R69" i="1"/>
  <c r="Q69" i="1"/>
  <c r="U68" i="1"/>
  <c r="T68" i="1"/>
  <c r="R68" i="1"/>
  <c r="Q68" i="1"/>
  <c r="U67" i="1"/>
  <c r="T67" i="1"/>
  <c r="R67" i="1"/>
  <c r="Q67" i="1"/>
  <c r="U66" i="1"/>
  <c r="T66" i="1"/>
  <c r="R66" i="1"/>
  <c r="Q66" i="1"/>
  <c r="U65" i="1"/>
  <c r="T65" i="1"/>
  <c r="R65" i="1"/>
  <c r="Q65" i="1"/>
  <c r="U64" i="1"/>
  <c r="R64" i="1"/>
  <c r="Q64" i="1"/>
  <c r="U63" i="1"/>
  <c r="T63" i="1"/>
  <c r="R63" i="1"/>
  <c r="Q63" i="1"/>
  <c r="U62" i="1"/>
  <c r="T62" i="1"/>
  <c r="R62" i="1"/>
  <c r="Q62" i="1"/>
  <c r="U61" i="1"/>
  <c r="T61" i="1"/>
  <c r="Q61" i="1"/>
  <c r="U60" i="1"/>
  <c r="T60" i="1"/>
  <c r="R60" i="1"/>
  <c r="U59" i="1"/>
  <c r="T59" i="1"/>
  <c r="R59" i="1"/>
  <c r="Q59" i="1"/>
  <c r="U58" i="1"/>
  <c r="R58" i="1"/>
  <c r="U57" i="1"/>
  <c r="T57" i="1"/>
  <c r="R57" i="1"/>
  <c r="Q57" i="1"/>
  <c r="U56" i="1"/>
  <c r="T56" i="1"/>
  <c r="Q56" i="1"/>
  <c r="U55" i="1"/>
  <c r="T55" i="1"/>
  <c r="Q55" i="1"/>
  <c r="U54" i="1"/>
  <c r="T54" i="1"/>
  <c r="R54" i="1"/>
  <c r="U53" i="1"/>
  <c r="T53" i="1"/>
  <c r="R53" i="1"/>
  <c r="U52" i="1"/>
  <c r="T52" i="1"/>
  <c r="R52" i="1"/>
  <c r="U51" i="1"/>
  <c r="T51" i="1"/>
  <c r="R51" i="1"/>
  <c r="T50" i="1"/>
  <c r="R50" i="1"/>
  <c r="Q50" i="1"/>
  <c r="U49" i="1"/>
  <c r="T49" i="1"/>
  <c r="R49" i="1"/>
  <c r="Q49" i="1"/>
  <c r="U48" i="1"/>
  <c r="T48" i="1"/>
  <c r="R48" i="1"/>
  <c r="Q48" i="1"/>
  <c r="U47" i="1"/>
  <c r="T47" i="1"/>
  <c r="R47" i="1"/>
  <c r="Q47" i="1"/>
  <c r="T46" i="1"/>
  <c r="R46" i="1"/>
  <c r="Q46" i="1"/>
  <c r="U45" i="1"/>
  <c r="T45" i="1"/>
  <c r="Q45" i="1"/>
  <c r="U44" i="1"/>
  <c r="R44" i="1"/>
  <c r="Q44" i="1"/>
  <c r="U43" i="1"/>
  <c r="T43" i="1"/>
  <c r="R43" i="1"/>
  <c r="U42" i="1"/>
  <c r="T42" i="1"/>
  <c r="R42" i="1"/>
  <c r="Q42" i="1"/>
  <c r="U41" i="1"/>
  <c r="T41" i="1"/>
  <c r="R41" i="1"/>
  <c r="Q41" i="1"/>
  <c r="U40" i="1"/>
  <c r="T40" i="1"/>
  <c r="R40" i="1"/>
  <c r="Q40" i="1"/>
  <c r="U39" i="1"/>
  <c r="T39" i="1"/>
  <c r="R39" i="1"/>
  <c r="Q39" i="1"/>
  <c r="U38" i="1"/>
  <c r="T38" i="1"/>
  <c r="R38" i="1"/>
  <c r="Q38" i="1"/>
  <c r="U37" i="1"/>
  <c r="T37" i="1"/>
  <c r="R37" i="1"/>
  <c r="Q37" i="1"/>
  <c r="U36" i="1"/>
  <c r="T36" i="1"/>
  <c r="R36" i="1"/>
  <c r="Q36" i="1"/>
  <c r="U35" i="1"/>
  <c r="T35" i="1"/>
  <c r="Q35" i="1"/>
  <c r="U34" i="1"/>
  <c r="T34" i="1"/>
  <c r="R34" i="1"/>
  <c r="Q34" i="1"/>
  <c r="U33" i="1"/>
  <c r="T33" i="1"/>
  <c r="Q33" i="1"/>
  <c r="U32" i="1"/>
  <c r="T32" i="1"/>
  <c r="R32" i="1"/>
  <c r="Q32" i="1"/>
  <c r="U31" i="1"/>
  <c r="T31" i="1"/>
  <c r="R31" i="1"/>
  <c r="Q31" i="1"/>
  <c r="U30" i="1"/>
  <c r="T30" i="1"/>
  <c r="R30" i="1"/>
  <c r="Q30" i="1"/>
  <c r="U29" i="1"/>
  <c r="T29" i="1"/>
  <c r="R29" i="1"/>
  <c r="Q29" i="1"/>
  <c r="U28" i="1"/>
  <c r="T28" i="1"/>
  <c r="R28" i="1"/>
  <c r="U27" i="1"/>
  <c r="T27" i="1"/>
  <c r="R27" i="1"/>
  <c r="Q27" i="1"/>
  <c r="U26" i="1"/>
  <c r="T26" i="1"/>
  <c r="R26" i="1"/>
  <c r="Q26" i="1"/>
  <c r="U25" i="1"/>
  <c r="T25" i="1"/>
  <c r="Q25" i="1"/>
  <c r="U24" i="1"/>
  <c r="T24" i="1"/>
  <c r="R24" i="1"/>
  <c r="Q24" i="1"/>
  <c r="U23" i="1"/>
  <c r="T23" i="1"/>
  <c r="Q23" i="1"/>
  <c r="U22" i="1"/>
  <c r="T22" i="1"/>
  <c r="Q22" i="1"/>
  <c r="U21" i="1"/>
  <c r="T21" i="1"/>
  <c r="R21" i="1"/>
  <c r="Q21" i="1"/>
  <c r="U20" i="1"/>
  <c r="T20" i="1"/>
  <c r="R20" i="1"/>
  <c r="Q20" i="1"/>
  <c r="U19" i="1"/>
  <c r="T19" i="1"/>
  <c r="Q19" i="1"/>
  <c r="U18" i="1"/>
  <c r="T18" i="1"/>
  <c r="R18" i="1"/>
  <c r="Q18" i="1"/>
  <c r="U17" i="1"/>
  <c r="T17" i="1"/>
  <c r="R17" i="1"/>
  <c r="Q17" i="1"/>
  <c r="U16" i="1"/>
  <c r="T16" i="1"/>
  <c r="R16" i="1"/>
  <c r="U15" i="1"/>
  <c r="T15" i="1"/>
  <c r="Q15" i="1"/>
  <c r="U14" i="1"/>
  <c r="T14" i="1"/>
  <c r="R14" i="1"/>
  <c r="Q14" i="1"/>
  <c r="U13" i="1"/>
  <c r="T13" i="1"/>
  <c r="R13" i="1"/>
  <c r="U12" i="1"/>
  <c r="T12" i="1"/>
  <c r="R12" i="1"/>
  <c r="Q12" i="1"/>
  <c r="U11" i="1"/>
  <c r="T11" i="1"/>
  <c r="Q11" i="1"/>
  <c r="U10" i="1"/>
  <c r="T10" i="1"/>
  <c r="R10" i="1"/>
  <c r="Q10" i="1"/>
  <c r="U9" i="1"/>
  <c r="T9" i="1"/>
  <c r="R9" i="1"/>
  <c r="U8" i="1"/>
  <c r="T8" i="1"/>
  <c r="R8" i="1"/>
  <c r="Q8" i="1"/>
  <c r="U7" i="1"/>
  <c r="T7" i="1"/>
  <c r="Q7" i="1"/>
  <c r="U6" i="1"/>
  <c r="R6" i="1"/>
  <c r="Q6" i="1"/>
  <c r="U5" i="1"/>
  <c r="R5" i="1"/>
  <c r="Q5" i="1"/>
  <c r="U4" i="1"/>
  <c r="T4" i="1"/>
  <c r="Q4" i="1"/>
  <c r="U3" i="1"/>
  <c r="T3" i="1"/>
  <c r="Q3" i="1"/>
  <c r="U2" i="1"/>
  <c r="T2" i="1"/>
  <c r="Q2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P86" i="1"/>
  <c r="P85" i="1"/>
  <c r="P84" i="1"/>
  <c r="P83" i="1"/>
  <c r="P82" i="1"/>
  <c r="P81" i="1"/>
  <c r="P79" i="1"/>
  <c r="P77" i="1"/>
  <c r="P76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3" i="1"/>
  <c r="P42" i="1"/>
  <c r="P41" i="1"/>
  <c r="P40" i="1"/>
  <c r="P39" i="1"/>
  <c r="P38" i="1"/>
  <c r="P37" i="1"/>
  <c r="P35" i="1"/>
  <c r="P34" i="1"/>
  <c r="P33" i="1"/>
  <c r="P32" i="1"/>
  <c r="P31" i="1"/>
  <c r="P30" i="1"/>
  <c r="P29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6" i="1"/>
  <c r="P5" i="1"/>
  <c r="P4" i="1"/>
  <c r="P3" i="1"/>
  <c r="P2" i="1"/>
  <c r="P7" i="1"/>
  <c r="N86" i="1"/>
  <c r="S86" i="1" s="1"/>
  <c r="N85" i="1"/>
  <c r="T85" i="1" s="1"/>
  <c r="N84" i="1"/>
  <c r="S84" i="1" s="1"/>
  <c r="N83" i="1"/>
  <c r="Q83" i="1" s="1"/>
  <c r="N82" i="1"/>
  <c r="R82" i="1" s="1"/>
  <c r="N81" i="1"/>
  <c r="S81" i="1" s="1"/>
  <c r="N80" i="1"/>
  <c r="N79" i="1"/>
  <c r="T79" i="1" s="1"/>
  <c r="N78" i="1"/>
  <c r="S78" i="1" s="1"/>
  <c r="N77" i="1"/>
  <c r="S77" i="1" s="1"/>
  <c r="N76" i="1"/>
  <c r="S76" i="1" s="1"/>
  <c r="N75" i="1"/>
  <c r="N74" i="1"/>
  <c r="S74" i="1" s="1"/>
  <c r="N73" i="1"/>
  <c r="R73" i="1" s="1"/>
  <c r="N72" i="1"/>
  <c r="S72" i="1" s="1"/>
  <c r="N71" i="1"/>
  <c r="T71" i="1" s="1"/>
  <c r="N70" i="1"/>
  <c r="R70" i="1" s="1"/>
  <c r="N69" i="1"/>
  <c r="S69" i="1" s="1"/>
  <c r="N68" i="1"/>
  <c r="S68" i="1" s="1"/>
  <c r="N67" i="1"/>
  <c r="S67" i="1" s="1"/>
  <c r="N66" i="1"/>
  <c r="S66" i="1" s="1"/>
  <c r="N65" i="1"/>
  <c r="S65" i="1" s="1"/>
  <c r="N64" i="1"/>
  <c r="T64" i="1" s="1"/>
  <c r="N63" i="1"/>
  <c r="S63" i="1" s="1"/>
  <c r="N62" i="1"/>
  <c r="S62" i="1" s="1"/>
  <c r="N61" i="1"/>
  <c r="R61" i="1" s="1"/>
  <c r="N60" i="1"/>
  <c r="Q60" i="1" s="1"/>
  <c r="N59" i="1"/>
  <c r="S59" i="1" s="1"/>
  <c r="N58" i="1"/>
  <c r="Q58" i="1" s="1"/>
  <c r="N57" i="1"/>
  <c r="S57" i="1" s="1"/>
  <c r="N56" i="1"/>
  <c r="R56" i="1" s="1"/>
  <c r="N55" i="1"/>
  <c r="R55" i="1" s="1"/>
  <c r="N54" i="1"/>
  <c r="Q54" i="1" s="1"/>
  <c r="N53" i="1"/>
  <c r="Q53" i="1" s="1"/>
  <c r="N52" i="1"/>
  <c r="Q52" i="1" s="1"/>
  <c r="N51" i="1"/>
  <c r="Q51" i="1" s="1"/>
  <c r="N50" i="1"/>
  <c r="U50" i="1" s="1"/>
  <c r="N49" i="1"/>
  <c r="S49" i="1" s="1"/>
  <c r="N48" i="1"/>
  <c r="S48" i="1" s="1"/>
  <c r="N47" i="1"/>
  <c r="S47" i="1" s="1"/>
  <c r="N46" i="1"/>
  <c r="U46" i="1" s="1"/>
  <c r="N45" i="1"/>
  <c r="R45" i="1" s="1"/>
  <c r="N44" i="1"/>
  <c r="N43" i="1"/>
  <c r="Q43" i="1" s="1"/>
  <c r="N42" i="1"/>
  <c r="S42" i="1" s="1"/>
  <c r="N41" i="1"/>
  <c r="S41" i="1" s="1"/>
  <c r="N40" i="1"/>
  <c r="S40" i="1" s="1"/>
  <c r="N39" i="1"/>
  <c r="S39" i="1" s="1"/>
  <c r="N38" i="1"/>
  <c r="S38" i="1" s="1"/>
  <c r="N37" i="1"/>
  <c r="S37" i="1" s="1"/>
  <c r="N36" i="1"/>
  <c r="S36" i="1" s="1"/>
  <c r="N35" i="1"/>
  <c r="R35" i="1" s="1"/>
  <c r="N34" i="1"/>
  <c r="S34" i="1" s="1"/>
  <c r="N33" i="1"/>
  <c r="R33" i="1" s="1"/>
  <c r="N32" i="1"/>
  <c r="S32" i="1" s="1"/>
  <c r="N31" i="1"/>
  <c r="S31" i="1" s="1"/>
  <c r="N30" i="1"/>
  <c r="S30" i="1" s="1"/>
  <c r="N29" i="1"/>
  <c r="S29" i="1" s="1"/>
  <c r="N28" i="1"/>
  <c r="Q28" i="1" s="1"/>
  <c r="N27" i="1"/>
  <c r="S27" i="1" s="1"/>
  <c r="N26" i="1"/>
  <c r="S26" i="1" s="1"/>
  <c r="N25" i="1"/>
  <c r="R25" i="1" s="1"/>
  <c r="N24" i="1"/>
  <c r="S24" i="1" s="1"/>
  <c r="N23" i="1"/>
  <c r="R23" i="1" s="1"/>
  <c r="N22" i="1"/>
  <c r="R22" i="1" s="1"/>
  <c r="N21" i="1"/>
  <c r="S21" i="1" s="1"/>
  <c r="N20" i="1"/>
  <c r="S20" i="1" s="1"/>
  <c r="N19" i="1"/>
  <c r="R19" i="1" s="1"/>
  <c r="N18" i="1"/>
  <c r="S18" i="1" s="1"/>
  <c r="N17" i="1"/>
  <c r="S17" i="1" s="1"/>
  <c r="N16" i="1"/>
  <c r="Q16" i="1" s="1"/>
  <c r="N15" i="1"/>
  <c r="R15" i="1" s="1"/>
  <c r="N14" i="1"/>
  <c r="S14" i="1" s="1"/>
  <c r="N13" i="1"/>
  <c r="Q13" i="1" s="1"/>
  <c r="N12" i="1"/>
  <c r="S12" i="1" s="1"/>
  <c r="N11" i="1"/>
  <c r="R11" i="1" s="1"/>
  <c r="N10" i="1"/>
  <c r="S10" i="1" s="1"/>
  <c r="N9" i="1"/>
  <c r="Q9" i="1" s="1"/>
  <c r="N8" i="1"/>
  <c r="S8" i="1" s="1"/>
  <c r="N7" i="1"/>
  <c r="R7" i="1" s="1"/>
  <c r="N6" i="1"/>
  <c r="T6" i="1" s="1"/>
  <c r="N5" i="1"/>
  <c r="T5" i="1" s="1"/>
  <c r="N4" i="1"/>
  <c r="R4" i="1" s="1"/>
  <c r="N3" i="1"/>
  <c r="R3" i="1" s="1"/>
  <c r="N2" i="1"/>
  <c r="R2" i="1" s="1"/>
  <c r="S80" i="1" l="1"/>
  <c r="S55" i="1"/>
  <c r="S7" i="1"/>
  <c r="S23" i="1"/>
  <c r="S56" i="1"/>
  <c r="S25" i="1"/>
  <c r="S75" i="1"/>
  <c r="S73" i="1"/>
  <c r="S11" i="1"/>
  <c r="S45" i="1"/>
  <c r="S61" i="1"/>
  <c r="S46" i="1"/>
  <c r="S15" i="1"/>
  <c r="S33" i="1"/>
  <c r="S2" i="1"/>
  <c r="S82" i="1"/>
  <c r="S3" i="1"/>
  <c r="S19" i="1"/>
  <c r="S35" i="1"/>
  <c r="S4" i="1"/>
  <c r="S85" i="1"/>
  <c r="S22" i="1"/>
  <c r="S70" i="1"/>
  <c r="P80" i="1"/>
  <c r="T44" i="1"/>
  <c r="P75" i="1"/>
  <c r="P59" i="1"/>
  <c r="P36" i="1"/>
  <c r="T58" i="1"/>
</calcChain>
</file>

<file path=xl/sharedStrings.xml><?xml version="1.0" encoding="utf-8"?>
<sst xmlns="http://schemas.openxmlformats.org/spreadsheetml/2006/main" count="469" uniqueCount="159">
  <si>
    <t>ID</t>
  </si>
  <si>
    <t>Title</t>
  </si>
  <si>
    <t>First Name</t>
  </si>
  <si>
    <t>Family Name</t>
  </si>
  <si>
    <t>Motion for Boat</t>
  </si>
  <si>
    <t>Motion for Kiteboard</t>
  </si>
  <si>
    <t>Motion for Sailboard (fin)</t>
  </si>
  <si>
    <t>Motion for Sailboard (foil)</t>
  </si>
  <si>
    <t>Motion for Wingboard</t>
  </si>
  <si>
    <t>Mr</t>
  </si>
  <si>
    <t>Michael</t>
  </si>
  <si>
    <t>George</t>
  </si>
  <si>
    <t>Sailboard (Fin) Motion</t>
  </si>
  <si>
    <t>Sailboard (Foil)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</si>
  <si>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</si>
  <si>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</si>
  <si>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</si>
  <si>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</si>
  <si>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</si>
  <si>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</si>
  <si>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</si>
  <si>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</si>
  <si>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</si>
  <si>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</si>
  <si>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</si>
  <si>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</si>
  <si>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</si>
  <si>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</si>
  <si>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</si>
  <si>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</si>
  <si>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</si>
  <si>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</si>
  <si>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</si>
  <si>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</si>
  <si>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</si>
  <si>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</si>
  <si>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</si>
  <si>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</si>
  <si>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</si>
  <si>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</si>
  <si>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</si>
  <si>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</si>
  <si>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</si>
  <si>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</si>
  <si>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</si>
  <si>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</si>
  <si>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</si>
  <si>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</si>
  <si>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</si>
  <si>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</si>
  <si>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</si>
  <si>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</si>
  <si>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</si>
  <si>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</si>
  <si>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</si>
  <si>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</si>
  <si>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</si>
  <si>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</si>
  <si>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</si>
  <si>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</si>
  <si>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</si>
  <si>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</si>
  <si>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</si>
  <si>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</si>
  <si>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</si>
  <si>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</si>
  <si>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</si>
  <si>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</si>
  <si>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</si>
  <si>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</si>
  <si>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</si>
  <si>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</si>
  <si>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</si>
  <si>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</si>
  <si>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</si>
  <si>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</si>
  <si>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</si>
  <si>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</si>
  <si>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</si>
  <si>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</si>
  <si>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</si>
  <si>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</si>
  <si>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</si>
  <si>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</si>
  <si>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</si>
  <si>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</si>
  <si>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</si>
  <si>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</si>
  <si>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</si>
  <si>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</si>
  <si>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</si>
  <si>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</si>
  <si>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</si>
  <si>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</si>
  <si>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</si>
  <si>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</si>
  <si>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</si>
  <si>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</si>
  <si>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</si>
  <si>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</si>
  <si>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</si>
  <si>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</si>
  <si>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</si>
  <si>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</si>
  <si>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</si>
  <si>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</si>
  <si>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</si>
  <si>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</si>
  <si>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</si>
  <si>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</si>
  <si>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</si>
  <si>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</si>
  <si>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</si>
  <si>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</si>
  <si>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</si>
  <si>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</si>
  <si>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</si>
  <si>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</si>
  <si>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</si>
  <si>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</si>
  <si>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</si>
  <si>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</si>
  <si>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</si>
  <si>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</si>
  <si>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</si>
  <si>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</si>
  <si>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</si>
  <si>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</si>
  <si>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</si>
  <si>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</si>
  <si>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</si>
  <si>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</si>
  <si>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</si>
  <si>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</si>
  <si>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</si>
  <si>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</si>
  <si>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</si>
  <si>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</si>
  <si>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</si>
  <si>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</si>
  <si>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</si>
  <si>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</si>
  <si>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</si>
  <si>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</si>
  <si>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</si>
  <si>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</si>
  <si>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</si>
  <si>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</si>
  <si>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</si>
  <si>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>Motion ID</t>
  </si>
  <si>
    <t>Motion Label</t>
  </si>
  <si>
    <t>Craft</t>
  </si>
  <si>
    <t>Diff</t>
  </si>
  <si>
    <t>Seb</t>
  </si>
  <si>
    <t>Youth Weekend</t>
  </si>
  <si>
    <t>Entrants Own Motion Mini</t>
  </si>
  <si>
    <t>YES</t>
  </si>
  <si>
    <t>UKWA Member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</si>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</sst>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 tint="-0.34998626667073579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16" fillId="33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0" xfId="0" applyFill="1" applyAlignment="1">
      <alignment horizontal="center"/>
    </xf>
    <xf numFmtId="0" fontId="0" fillId="35" borderId="0" xfId="0" applyFill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66FD3-C540-449E-A841-C1FB8B248615}">
  <dimension ref="A1:U86"/>
  <sheetViews>
    <sheetView tabSelected="1" workbookViewId="0">
      <pane ySplit="1" topLeftCell="A2" activePane="bottomLeft" state="frozen"/>
      <selection pane="bottomLeft" activeCell="Q6" sqref="Q6"/>
    </sheetView>
  </sheetViews>
  <sheetFormatPr defaultRowHeight="15" x14ac:dyDescent="0.25"/>
  <cols>
    <col min="1" max="1" width="5.28515625" bestFit="1" customWidth="1"/>
    <col min="2" max="2" width="7.28515625" bestFit="1" customWidth="1"/>
    <col min="3" max="3" width="13" bestFit="1" customWidth="1"/>
    <col min="4" max="4" width="14.85546875" bestFit="1" customWidth="1"/>
    <col min="5" max="7" width="9.140625" style="8"/>
    <col min="8" max="12" width="10.7109375" style="10" customWidth="1"/>
    <col min="13" max="14" width="11.140625" style="5" bestFit="1" customWidth="1"/>
    <col min="15" max="15" width="14.28515625" style="5" bestFit="1" customWidth="1"/>
    <col min="16" max="16" width="17.140625" style="5" bestFit="1" customWidth="1"/>
    <col min="17" max="21" width="13.28515625" style="3" customWidth="1"/>
  </cols>
  <sheetData>
    <row r="1" spans="1:2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7" t="s">
        <v>154</v>
      </c>
      <c r="F1" s="7" t="s">
        <v>157</v>
      </c>
      <c r="G1" s="7" t="s">
        <v>155</v>
      </c>
      <c r="H1" s="9" t="s">
        <v>8</v>
      </c>
      <c r="I1" s="9" t="s">
        <v>7</v>
      </c>
      <c r="J1" s="9" t="s">
        <v>6</v>
      </c>
      <c r="K1" s="9" t="s">
        <v>5</v>
      </c>
      <c r="L1" s="9" t="s">
        <v>4</v>
      </c>
      <c r="M1" s="4" t="s">
        <v>152</v>
      </c>
      <c r="N1" s="4" t="s">
        <v>151</v>
      </c>
      <c r="O1" s="4" t="s">
        <v>149</v>
      </c>
      <c r="P1" s="4" t="s">
        <v>150</v>
      </c>
      <c r="Q1" s="2" t="s">
        <v>8</v>
      </c>
      <c r="R1" s="2" t="s">
        <v>7</v>
      </c>
      <c r="S1" s="2" t="s">
        <v>6</v>
      </c>
      <c r="T1" s="2" t="s">
        <v>5</v>
      </c>
      <c r="U1" s="2" t="s">
        <v>4</v>
      </c>
    </row>
    <row r="2" spans="1:21" x14ac:dyDescent="0.25">
      <c r="A2">
        <v>13</v>
      </c>
      <c r="B2" t="s">
        <v>9</v>
      </c>
      <c r="C2" t="s">
        <v>10</v>
      </c>
      <c r="D2" t="s">
        <v>11</v>
      </c>
      <c r="F2" s="8" t="s">
        <v>156</v>
      </c>
      <c r="I2" s="10" t="s">
        <v>13</v>
      </c>
      <c r="J2" s="10" t="s">
        <v>12</v>
      </c>
      <c r="N2" s="5">
        <f t="shared" ref="N2:N33" si="0">COUNTA(H2:L2)</f>
        <v>2</v>
      </c>
      <c r="O2" s="5">
        <v>999</v>
      </c>
      <c r="P2" s="5" t="str">
        <f t="shared" ref="P2:P6" si="1">UPPER(_xlfn.CONCAT(LEFT(D2,3),O2,LEFT(C2,3)))</f>
        <v>GEO999MIC</v>
      </c>
      <c r="Q2" s="3" t="str">
        <f>IF(H2&lt;&gt;"", _xlfn.CONCAT("Motion ",IF($N2&gt;1,"5",""),$O2), "")</f>
        <v/>
      </c>
      <c r="R2" s="3" t="str">
        <f>IF(I2&lt;&gt;"", _xlfn.CONCAT("Motion ",IF($N2&gt;1,"4",""),$O2), "")</f>
        <v>Motion 4999</v>
      </c>
      <c r="S2" s="3" t="str">
        <f>IF(J2&lt;&gt;"", _xlfn.CONCAT("Motion ",IF(AND($N2&gt;1,$I2=""),"4",""),$O2), "")</f>
        <v>Motion 999</v>
      </c>
      <c r="T2" s="3" t="str">
        <f>IF(K2&lt;&gt;"", _xlfn.CONCAT("Motion ",IF($N2&gt;1,"2",""),$O2), "")</f>
        <v/>
      </c>
      <c r="U2" s="3" t="str">
        <f>IF(L2&lt;&gt;"", _xlfn.CONCAT("Motion ",IF($N2&gt;1,"1",""),$O2), "")</f>
        <v/>
      </c>
    </row>
    <row r="3" spans="1:21" x14ac:dyDescent="0.25">
      <c r="A3">
        <v>14</v>
      </c>
      <c r="B3" t="s">
        <v>9</v>
      </c>
      <c r="C3" t="s">
        <v>14</v>
      </c>
      <c r="D3" t="s">
        <v>15</v>
      </c>
      <c r="F3" s="8" t="s">
        <v>156</v>
      </c>
      <c r="G3" s="8">
        <v>0</v>
      </c>
      <c r="I3" s="10" t="s">
        <v>13</v>
      </c>
      <c r="J3" s="10" t="s">
        <v>12</v>
      </c>
      <c r="M3" s="5" t="str">
        <f>IF(A3-A2&lt;&gt;1,A3-A2,"")</f>
        <v/>
      </c>
      <c r="N3" s="5">
        <f t="shared" si="0"/>
        <v>2</v>
      </c>
      <c r="O3" s="5">
        <v>999</v>
      </c>
      <c r="P3" s="5" t="str">
        <f t="shared" si="1"/>
        <v>PET999SIM</v>
      </c>
      <c r="Q3" s="3" t="str">
        <f t="shared" ref="Q3:Q66" si="2">IF(H3&lt;&gt;"", _xlfn.CONCAT("Motion ",IF($N3&gt;1,"5",""),$O3), "")</f>
        <v/>
      </c>
      <c r="R3" s="3" t="str">
        <f t="shared" ref="R3:R66" si="3">IF(I3&lt;&gt;"", _xlfn.CONCAT("Motion ",IF($N3&gt;1,"4",""),$O3), "")</f>
        <v>Motion 4999</v>
      </c>
      <c r="S3" s="3" t="str">
        <f t="shared" ref="S3:S66" si="4">IF(J3&lt;&gt;"", _xlfn.CONCAT("Motion ",IF(AND($N3&gt;1,$I3=""),"4",""),$O3), "")</f>
        <v>Motion 999</v>
      </c>
      <c r="T3" s="3" t="str">
        <f t="shared" ref="T3:T66" si="5">IF(K3&lt;&gt;"", _xlfn.CONCAT("Motion ",IF($N3&gt;1,"2",""),$O3), "")</f>
        <v/>
      </c>
      <c r="U3" s="3" t="str">
        <f t="shared" ref="U3:U66" si="6">IF(L3&lt;&gt;"", _xlfn.CONCAT("Motion ",IF($N3&gt;1,"1",""),$O3), "")</f>
        <v/>
      </c>
    </row>
    <row r="4" spans="1:21" x14ac:dyDescent="0.25">
      <c r="A4">
        <v>15</v>
      </c>
      <c r="B4" t="s">
        <v>16</v>
      </c>
      <c r="C4" t="s">
        <v>17</v>
      </c>
      <c r="D4" t="s">
        <v>18</v>
      </c>
      <c r="F4" s="8" t="s">
        <v>156</v>
      </c>
      <c r="G4" s="8">
        <v>0</v>
      </c>
      <c r="I4" s="10" t="s">
        <v>13</v>
      </c>
      <c r="J4" s="10" t="s">
        <v>12</v>
      </c>
      <c r="M4" s="5" t="str">
        <f t="shared" ref="M4:M67" si="7">IF(A4-A3&lt;&gt;1,A4-A3,"")</f>
        <v/>
      </c>
      <c r="N4" s="5">
        <f t="shared" si="0"/>
        <v>2</v>
      </c>
      <c r="O4" s="5">
        <v>999</v>
      </c>
      <c r="P4" s="5" t="str">
        <f t="shared" si="1"/>
        <v>GIB999JEN</v>
      </c>
      <c r="Q4" s="3" t="str">
        <f t="shared" si="2"/>
        <v/>
      </c>
      <c r="R4" s="3" t="str">
        <f t="shared" si="3"/>
        <v>Motion 4999</v>
      </c>
      <c r="S4" s="3" t="str">
        <f t="shared" si="4"/>
        <v>Motion 999</v>
      </c>
      <c r="T4" s="3" t="str">
        <f t="shared" si="5"/>
        <v/>
      </c>
      <c r="U4" s="3" t="str">
        <f t="shared" si="6"/>
        <v/>
      </c>
    </row>
    <row r="5" spans="1:21" x14ac:dyDescent="0.25">
      <c r="A5">
        <v>16</v>
      </c>
      <c r="B5" t="s">
        <v>9</v>
      </c>
      <c r="C5" t="s">
        <v>19</v>
      </c>
      <c r="D5" t="s">
        <v>20</v>
      </c>
      <c r="K5" s="10" t="s">
        <v>21</v>
      </c>
      <c r="M5" s="5" t="str">
        <f t="shared" si="7"/>
        <v/>
      </c>
      <c r="N5" s="5">
        <f t="shared" si="0"/>
        <v>1</v>
      </c>
      <c r="O5" s="5">
        <v>999</v>
      </c>
      <c r="P5" s="5" t="str">
        <f t="shared" si="1"/>
        <v>VAS999STA</v>
      </c>
      <c r="Q5" s="3" t="str">
        <f t="shared" si="2"/>
        <v/>
      </c>
      <c r="R5" s="3" t="str">
        <f t="shared" si="3"/>
        <v/>
      </c>
      <c r="S5" s="3" t="str">
        <f t="shared" si="4"/>
        <v/>
      </c>
      <c r="T5" s="3" t="str">
        <f t="shared" si="5"/>
        <v>Motion 999</v>
      </c>
      <c r="U5" s="3" t="str">
        <f t="shared" si="6"/>
        <v/>
      </c>
    </row>
    <row r="6" spans="1:21" x14ac:dyDescent="0.25">
      <c r="A6">
        <v>17</v>
      </c>
      <c r="B6" t="s">
        <v>22</v>
      </c>
      <c r="C6" t="s">
        <v>23</v>
      </c>
      <c r="D6" t="s">
        <v>24</v>
      </c>
      <c r="K6" s="10" t="s">
        <v>21</v>
      </c>
      <c r="M6" s="5" t="str">
        <f t="shared" si="7"/>
        <v/>
      </c>
      <c r="N6" s="5">
        <f t="shared" si="0"/>
        <v>1</v>
      </c>
      <c r="O6" s="5">
        <v>999</v>
      </c>
      <c r="P6" s="5" t="str">
        <f t="shared" si="1"/>
        <v>EIF999AYA</v>
      </c>
      <c r="Q6" s="3" t="str">
        <f t="shared" si="2"/>
        <v/>
      </c>
      <c r="R6" s="3" t="str">
        <f t="shared" si="3"/>
        <v/>
      </c>
      <c r="S6" s="3" t="str">
        <f t="shared" si="4"/>
        <v/>
      </c>
      <c r="T6" s="3" t="str">
        <f t="shared" si="5"/>
        <v>Motion 999</v>
      </c>
      <c r="U6" s="3" t="str">
        <f t="shared" si="6"/>
        <v/>
      </c>
    </row>
    <row r="7" spans="1:21" x14ac:dyDescent="0.25">
      <c r="A7">
        <v>18</v>
      </c>
      <c r="B7" t="s">
        <v>9</v>
      </c>
      <c r="C7" t="s">
        <v>25</v>
      </c>
      <c r="D7" t="s">
        <v>26</v>
      </c>
      <c r="E7" s="8" t="s">
        <v>156</v>
      </c>
      <c r="F7" s="8" t="s">
        <v>158</v>
      </c>
      <c r="I7" s="10" t="s">
        <v>13</v>
      </c>
      <c r="J7" s="10" t="s">
        <v>12</v>
      </c>
      <c r="M7" s="5" t="str">
        <f t="shared" si="7"/>
        <v/>
      </c>
      <c r="N7" s="5">
        <f t="shared" si="0"/>
        <v>2</v>
      </c>
      <c r="O7" s="5">
        <v>999</v>
      </c>
      <c r="P7" s="5" t="str">
        <f>UPPER(_xlfn.CONCAT(LEFT(D7,3),O7,LEFT(C7,3)))</f>
        <v>CHI999DYL</v>
      </c>
      <c r="Q7" s="3" t="str">
        <f t="shared" si="2"/>
        <v/>
      </c>
      <c r="R7" s="3" t="str">
        <f t="shared" si="3"/>
        <v>Motion 4999</v>
      </c>
      <c r="S7" s="3" t="str">
        <f t="shared" si="4"/>
        <v>Motion 999</v>
      </c>
      <c r="T7" s="3" t="str">
        <f t="shared" si="5"/>
        <v/>
      </c>
      <c r="U7" s="3" t="str">
        <f t="shared" si="6"/>
        <v/>
      </c>
    </row>
    <row r="8" spans="1:21" x14ac:dyDescent="0.25">
      <c r="A8">
        <v>19</v>
      </c>
      <c r="B8" t="s">
        <v>9</v>
      </c>
      <c r="C8" t="s">
        <v>27</v>
      </c>
      <c r="D8" t="s">
        <v>28</v>
      </c>
      <c r="F8" s="8" t="s">
        <v>158</v>
      </c>
      <c r="J8" s="10" t="s">
        <v>12</v>
      </c>
      <c r="M8" s="5" t="str">
        <f t="shared" si="7"/>
        <v/>
      </c>
      <c r="N8" s="5">
        <f t="shared" si="0"/>
        <v>1</v>
      </c>
      <c r="O8" s="5">
        <v>999</v>
      </c>
      <c r="P8" s="5" t="str">
        <f t="shared" ref="P8:P71" si="8">UPPER(_xlfn.CONCAT(LEFT(D8,3),O8,LEFT(C8,3)))</f>
        <v>HEN999RIC</v>
      </c>
      <c r="Q8" s="3" t="str">
        <f t="shared" si="2"/>
        <v/>
      </c>
      <c r="R8" s="3" t="str">
        <f t="shared" si="3"/>
        <v/>
      </c>
      <c r="S8" s="3" t="str">
        <f t="shared" si="4"/>
        <v>Motion 999</v>
      </c>
      <c r="T8" s="3" t="str">
        <f t="shared" si="5"/>
        <v/>
      </c>
      <c r="U8" s="3" t="str">
        <f t="shared" si="6"/>
        <v/>
      </c>
    </row>
    <row r="9" spans="1:21" x14ac:dyDescent="0.25">
      <c r="A9">
        <v>20</v>
      </c>
      <c r="B9" t="s">
        <v>9</v>
      </c>
      <c r="C9" t="s">
        <v>29</v>
      </c>
      <c r="D9" t="s">
        <v>30</v>
      </c>
      <c r="F9" s="8" t="s">
        <v>156</v>
      </c>
      <c r="G9" s="12">
        <v>940</v>
      </c>
      <c r="H9" s="10" t="s">
        <v>31</v>
      </c>
      <c r="M9" s="5" t="str">
        <f t="shared" si="7"/>
        <v/>
      </c>
      <c r="N9" s="5">
        <f t="shared" si="0"/>
        <v>1</v>
      </c>
      <c r="O9" s="11">
        <v>940</v>
      </c>
      <c r="P9" s="5" t="str">
        <f t="shared" si="8"/>
        <v>DIC940ROD</v>
      </c>
      <c r="Q9" s="3" t="str">
        <f t="shared" si="2"/>
        <v>Motion 940</v>
      </c>
      <c r="R9" s="3" t="str">
        <f t="shared" si="3"/>
        <v/>
      </c>
      <c r="S9" s="3" t="str">
        <f t="shared" si="4"/>
        <v/>
      </c>
      <c r="T9" s="3" t="str">
        <f t="shared" si="5"/>
        <v/>
      </c>
      <c r="U9" s="3" t="str">
        <f t="shared" si="6"/>
        <v/>
      </c>
    </row>
    <row r="10" spans="1:21" x14ac:dyDescent="0.25">
      <c r="A10">
        <v>21</v>
      </c>
      <c r="B10" t="s">
        <v>9</v>
      </c>
      <c r="C10" t="s">
        <v>32</v>
      </c>
      <c r="D10" t="s">
        <v>33</v>
      </c>
      <c r="F10" s="8" t="s">
        <v>158</v>
      </c>
      <c r="J10" s="10" t="s">
        <v>12</v>
      </c>
      <c r="M10" s="5" t="str">
        <f t="shared" si="7"/>
        <v/>
      </c>
      <c r="N10" s="5">
        <f t="shared" si="0"/>
        <v>1</v>
      </c>
      <c r="O10" s="5">
        <v>999</v>
      </c>
      <c r="P10" s="5" t="str">
        <f t="shared" si="8"/>
        <v>DE 999JEA</v>
      </c>
      <c r="Q10" s="3" t="str">
        <f t="shared" si="2"/>
        <v/>
      </c>
      <c r="R10" s="3" t="str">
        <f t="shared" si="3"/>
        <v/>
      </c>
      <c r="S10" s="3" t="str">
        <f t="shared" si="4"/>
        <v>Motion 999</v>
      </c>
      <c r="T10" s="3" t="str">
        <f t="shared" si="5"/>
        <v/>
      </c>
      <c r="U10" s="3" t="str">
        <f t="shared" si="6"/>
        <v/>
      </c>
    </row>
    <row r="11" spans="1:21" x14ac:dyDescent="0.25">
      <c r="A11">
        <v>22</v>
      </c>
      <c r="B11" t="s">
        <v>9</v>
      </c>
      <c r="C11" t="s">
        <v>27</v>
      </c>
      <c r="D11" t="s">
        <v>34</v>
      </c>
      <c r="F11" s="8" t="s">
        <v>158</v>
      </c>
      <c r="I11" s="10" t="s">
        <v>13</v>
      </c>
      <c r="J11" s="10" t="s">
        <v>12</v>
      </c>
      <c r="M11" s="5" t="str">
        <f t="shared" si="7"/>
        <v/>
      </c>
      <c r="N11" s="5">
        <f t="shared" si="0"/>
        <v>2</v>
      </c>
      <c r="O11" s="5">
        <v>999</v>
      </c>
      <c r="P11" s="5" t="str">
        <f t="shared" si="8"/>
        <v>DUD999RIC</v>
      </c>
      <c r="Q11" s="3" t="str">
        <f t="shared" si="2"/>
        <v/>
      </c>
      <c r="R11" s="3" t="str">
        <f t="shared" si="3"/>
        <v>Motion 4999</v>
      </c>
      <c r="S11" s="3" t="str">
        <f t="shared" si="4"/>
        <v>Motion 999</v>
      </c>
      <c r="T11" s="3" t="str">
        <f t="shared" si="5"/>
        <v/>
      </c>
      <c r="U11" s="3" t="str">
        <f t="shared" si="6"/>
        <v/>
      </c>
    </row>
    <row r="12" spans="1:21" x14ac:dyDescent="0.25">
      <c r="A12">
        <v>23</v>
      </c>
      <c r="B12" t="s">
        <v>9</v>
      </c>
      <c r="C12" t="s">
        <v>35</v>
      </c>
      <c r="D12" t="s">
        <v>36</v>
      </c>
      <c r="F12" s="8" t="s">
        <v>156</v>
      </c>
      <c r="J12" s="10" t="s">
        <v>12</v>
      </c>
      <c r="M12" s="5" t="str">
        <f t="shared" si="7"/>
        <v/>
      </c>
      <c r="N12" s="5">
        <f t="shared" si="0"/>
        <v>1</v>
      </c>
      <c r="O12" s="5">
        <v>999</v>
      </c>
      <c r="P12" s="5" t="str">
        <f t="shared" si="8"/>
        <v>MEY999BEN</v>
      </c>
      <c r="Q12" s="3" t="str">
        <f t="shared" si="2"/>
        <v/>
      </c>
      <c r="R12" s="3" t="str">
        <f t="shared" si="3"/>
        <v/>
      </c>
      <c r="S12" s="3" t="str">
        <f t="shared" si="4"/>
        <v>Motion 999</v>
      </c>
      <c r="T12" s="3" t="str">
        <f t="shared" si="5"/>
        <v/>
      </c>
      <c r="U12" s="3" t="str">
        <f t="shared" si="6"/>
        <v/>
      </c>
    </row>
    <row r="13" spans="1:21" x14ac:dyDescent="0.25">
      <c r="A13">
        <v>24</v>
      </c>
      <c r="B13" t="s">
        <v>9</v>
      </c>
      <c r="C13" t="s">
        <v>37</v>
      </c>
      <c r="D13" t="s">
        <v>38</v>
      </c>
      <c r="F13" s="8" t="s">
        <v>156</v>
      </c>
      <c r="H13" s="10" t="s">
        <v>31</v>
      </c>
      <c r="M13" s="5" t="str">
        <f t="shared" si="7"/>
        <v/>
      </c>
      <c r="N13" s="5">
        <f t="shared" si="0"/>
        <v>1</v>
      </c>
      <c r="O13" s="5">
        <v>999</v>
      </c>
      <c r="P13" s="5" t="str">
        <f t="shared" si="8"/>
        <v>MIL999JEZ</v>
      </c>
      <c r="Q13" s="3" t="str">
        <f t="shared" si="2"/>
        <v>Motion 999</v>
      </c>
      <c r="R13" s="3" t="str">
        <f t="shared" si="3"/>
        <v/>
      </c>
      <c r="S13" s="3" t="str">
        <f t="shared" si="4"/>
        <v/>
      </c>
      <c r="T13" s="3" t="str">
        <f t="shared" si="5"/>
        <v/>
      </c>
      <c r="U13" s="3" t="str">
        <f t="shared" si="6"/>
        <v/>
      </c>
    </row>
    <row r="14" spans="1:21" x14ac:dyDescent="0.25">
      <c r="A14">
        <v>25</v>
      </c>
      <c r="B14" t="s">
        <v>9</v>
      </c>
      <c r="C14" t="s">
        <v>39</v>
      </c>
      <c r="D14" t="s">
        <v>40</v>
      </c>
      <c r="F14" s="8" t="s">
        <v>156</v>
      </c>
      <c r="J14" s="10" t="s">
        <v>12</v>
      </c>
      <c r="M14" s="5" t="str">
        <f t="shared" si="7"/>
        <v/>
      </c>
      <c r="N14" s="5">
        <f t="shared" si="0"/>
        <v>1</v>
      </c>
      <c r="O14" s="5">
        <v>999</v>
      </c>
      <c r="P14" s="5" t="str">
        <f t="shared" si="8"/>
        <v>REE999MAR</v>
      </c>
      <c r="Q14" s="3" t="str">
        <f t="shared" si="2"/>
        <v/>
      </c>
      <c r="R14" s="3" t="str">
        <f t="shared" si="3"/>
        <v/>
      </c>
      <c r="S14" s="3" t="str">
        <f t="shared" si="4"/>
        <v>Motion 999</v>
      </c>
      <c r="T14" s="3" t="str">
        <f t="shared" si="5"/>
        <v/>
      </c>
      <c r="U14" s="3" t="str">
        <f t="shared" si="6"/>
        <v/>
      </c>
    </row>
    <row r="15" spans="1:21" x14ac:dyDescent="0.25">
      <c r="A15">
        <v>26</v>
      </c>
      <c r="B15" t="s">
        <v>9</v>
      </c>
      <c r="C15" t="s">
        <v>41</v>
      </c>
      <c r="D15" t="s">
        <v>42</v>
      </c>
      <c r="F15" s="8" t="s">
        <v>156</v>
      </c>
      <c r="I15" s="10" t="s">
        <v>13</v>
      </c>
      <c r="J15" s="10" t="s">
        <v>12</v>
      </c>
      <c r="M15" s="5" t="str">
        <f t="shared" si="7"/>
        <v/>
      </c>
      <c r="N15" s="5">
        <f t="shared" si="0"/>
        <v>2</v>
      </c>
      <c r="O15" s="5">
        <v>999</v>
      </c>
      <c r="P15" s="5" t="str">
        <f t="shared" si="8"/>
        <v>LON999ROB</v>
      </c>
      <c r="Q15" s="3" t="str">
        <f t="shared" si="2"/>
        <v/>
      </c>
      <c r="R15" s="3" t="str">
        <f t="shared" si="3"/>
        <v>Motion 4999</v>
      </c>
      <c r="S15" s="3" t="str">
        <f t="shared" si="4"/>
        <v>Motion 999</v>
      </c>
      <c r="T15" s="3" t="str">
        <f t="shared" si="5"/>
        <v/>
      </c>
      <c r="U15" s="3" t="str">
        <f t="shared" si="6"/>
        <v/>
      </c>
    </row>
    <row r="16" spans="1:21" x14ac:dyDescent="0.25">
      <c r="A16">
        <v>27</v>
      </c>
      <c r="B16" t="s">
        <v>43</v>
      </c>
      <c r="C16" t="s">
        <v>44</v>
      </c>
      <c r="D16" t="s">
        <v>45</v>
      </c>
      <c r="F16" s="8" t="s">
        <v>156</v>
      </c>
      <c r="H16" s="10" t="s">
        <v>31</v>
      </c>
      <c r="M16" s="5" t="str">
        <f t="shared" si="7"/>
        <v/>
      </c>
      <c r="N16" s="5">
        <f t="shared" si="0"/>
        <v>1</v>
      </c>
      <c r="O16" s="5">
        <v>999</v>
      </c>
      <c r="P16" s="5" t="str">
        <f t="shared" si="8"/>
        <v>ROG999KAT</v>
      </c>
      <c r="Q16" s="3" t="str">
        <f t="shared" si="2"/>
        <v>Motion 999</v>
      </c>
      <c r="R16" s="3" t="str">
        <f t="shared" si="3"/>
        <v/>
      </c>
      <c r="S16" s="3" t="str">
        <f t="shared" si="4"/>
        <v/>
      </c>
      <c r="T16" s="3" t="str">
        <f t="shared" si="5"/>
        <v/>
      </c>
      <c r="U16" s="3" t="str">
        <f t="shared" si="6"/>
        <v/>
      </c>
    </row>
    <row r="17" spans="1:21" x14ac:dyDescent="0.25">
      <c r="A17">
        <v>28</v>
      </c>
      <c r="B17" t="s">
        <v>9</v>
      </c>
      <c r="C17" t="s">
        <v>46</v>
      </c>
      <c r="D17" t="s">
        <v>47</v>
      </c>
      <c r="F17" s="8" t="s">
        <v>158</v>
      </c>
      <c r="J17" s="10" t="s">
        <v>12</v>
      </c>
      <c r="M17" s="5" t="str">
        <f t="shared" si="7"/>
        <v/>
      </c>
      <c r="N17" s="5">
        <f t="shared" si="0"/>
        <v>1</v>
      </c>
      <c r="O17" s="5">
        <v>999</v>
      </c>
      <c r="P17" s="5" t="str">
        <f t="shared" si="8"/>
        <v>SMI999BAR</v>
      </c>
      <c r="Q17" s="3" t="str">
        <f t="shared" si="2"/>
        <v/>
      </c>
      <c r="R17" s="3" t="str">
        <f t="shared" si="3"/>
        <v/>
      </c>
      <c r="S17" s="3" t="str">
        <f t="shared" si="4"/>
        <v>Motion 999</v>
      </c>
      <c r="T17" s="3" t="str">
        <f t="shared" si="5"/>
        <v/>
      </c>
      <c r="U17" s="3" t="str">
        <f t="shared" si="6"/>
        <v/>
      </c>
    </row>
    <row r="18" spans="1:21" x14ac:dyDescent="0.25">
      <c r="A18">
        <v>29</v>
      </c>
      <c r="B18" t="s">
        <v>9</v>
      </c>
      <c r="C18" t="s">
        <v>27</v>
      </c>
      <c r="D18" t="s">
        <v>48</v>
      </c>
      <c r="F18" s="8" t="s">
        <v>156</v>
      </c>
      <c r="J18" s="10" t="s">
        <v>12</v>
      </c>
      <c r="M18" s="5" t="str">
        <f t="shared" si="7"/>
        <v/>
      </c>
      <c r="N18" s="5">
        <f t="shared" si="0"/>
        <v>1</v>
      </c>
      <c r="O18" s="5">
        <v>999</v>
      </c>
      <c r="P18" s="5" t="str">
        <f t="shared" si="8"/>
        <v>CRO999RIC</v>
      </c>
      <c r="Q18" s="3" t="str">
        <f t="shared" si="2"/>
        <v/>
      </c>
      <c r="R18" s="3" t="str">
        <f t="shared" si="3"/>
        <v/>
      </c>
      <c r="S18" s="3" t="str">
        <f t="shared" si="4"/>
        <v>Motion 999</v>
      </c>
      <c r="T18" s="3" t="str">
        <f t="shared" si="5"/>
        <v/>
      </c>
      <c r="U18" s="3" t="str">
        <f t="shared" si="6"/>
        <v/>
      </c>
    </row>
    <row r="19" spans="1:21" x14ac:dyDescent="0.25">
      <c r="A19">
        <v>30</v>
      </c>
      <c r="B19" t="s">
        <v>9</v>
      </c>
      <c r="C19" t="s">
        <v>49</v>
      </c>
      <c r="D19" t="s">
        <v>48</v>
      </c>
      <c r="F19" s="8" t="s">
        <v>158</v>
      </c>
      <c r="I19" s="10" t="s">
        <v>13</v>
      </c>
      <c r="J19" s="10" t="s">
        <v>12</v>
      </c>
      <c r="M19" s="5" t="str">
        <f t="shared" si="7"/>
        <v/>
      </c>
      <c r="N19" s="5">
        <f t="shared" si="0"/>
        <v>2</v>
      </c>
      <c r="O19" s="5">
        <v>999</v>
      </c>
      <c r="P19" s="5" t="str">
        <f t="shared" si="8"/>
        <v>CRO999PET</v>
      </c>
      <c r="Q19" s="3" t="str">
        <f t="shared" si="2"/>
        <v/>
      </c>
      <c r="R19" s="3" t="str">
        <f t="shared" si="3"/>
        <v>Motion 4999</v>
      </c>
      <c r="S19" s="3" t="str">
        <f t="shared" si="4"/>
        <v>Motion 999</v>
      </c>
      <c r="T19" s="3" t="str">
        <f t="shared" si="5"/>
        <v/>
      </c>
      <c r="U19" s="3" t="str">
        <f t="shared" si="6"/>
        <v/>
      </c>
    </row>
    <row r="20" spans="1:21" x14ac:dyDescent="0.25">
      <c r="A20">
        <v>31</v>
      </c>
      <c r="B20" t="s">
        <v>9</v>
      </c>
      <c r="C20" t="s">
        <v>14</v>
      </c>
      <c r="D20" t="s">
        <v>50</v>
      </c>
      <c r="F20" s="8" t="s">
        <v>156</v>
      </c>
      <c r="J20" s="10" t="s">
        <v>12</v>
      </c>
      <c r="M20" s="5" t="str">
        <f t="shared" si="7"/>
        <v/>
      </c>
      <c r="N20" s="5">
        <f t="shared" si="0"/>
        <v>1</v>
      </c>
      <c r="O20" s="5">
        <v>999</v>
      </c>
      <c r="P20" s="5" t="str">
        <f t="shared" si="8"/>
        <v>BAR999SIM</v>
      </c>
      <c r="Q20" s="3" t="str">
        <f t="shared" si="2"/>
        <v/>
      </c>
      <c r="R20" s="3" t="str">
        <f t="shared" si="3"/>
        <v/>
      </c>
      <c r="S20" s="3" t="str">
        <f t="shared" si="4"/>
        <v>Motion 999</v>
      </c>
      <c r="T20" s="3" t="str">
        <f t="shared" si="5"/>
        <v/>
      </c>
      <c r="U20" s="3" t="str">
        <f t="shared" si="6"/>
        <v/>
      </c>
    </row>
    <row r="21" spans="1:21" x14ac:dyDescent="0.25">
      <c r="A21">
        <v>32</v>
      </c>
      <c r="B21" t="s">
        <v>9</v>
      </c>
      <c r="C21" t="s">
        <v>51</v>
      </c>
      <c r="D21" t="s">
        <v>52</v>
      </c>
      <c r="F21" s="8" t="s">
        <v>158</v>
      </c>
      <c r="J21" s="10" t="s">
        <v>12</v>
      </c>
      <c r="M21" s="5" t="str">
        <f t="shared" si="7"/>
        <v/>
      </c>
      <c r="N21" s="5">
        <f t="shared" si="0"/>
        <v>1</v>
      </c>
      <c r="O21" s="5">
        <v>999</v>
      </c>
      <c r="P21" s="5" t="str">
        <f t="shared" si="8"/>
        <v>MAY999SCO</v>
      </c>
      <c r="Q21" s="3" t="str">
        <f t="shared" si="2"/>
        <v/>
      </c>
      <c r="R21" s="3" t="str">
        <f t="shared" si="3"/>
        <v/>
      </c>
      <c r="S21" s="3" t="str">
        <f t="shared" si="4"/>
        <v>Motion 999</v>
      </c>
      <c r="T21" s="3" t="str">
        <f t="shared" si="5"/>
        <v/>
      </c>
      <c r="U21" s="3" t="str">
        <f t="shared" si="6"/>
        <v/>
      </c>
    </row>
    <row r="22" spans="1:21" x14ac:dyDescent="0.25">
      <c r="A22">
        <v>33</v>
      </c>
      <c r="B22" t="s">
        <v>9</v>
      </c>
      <c r="C22" t="s">
        <v>53</v>
      </c>
      <c r="D22" t="s">
        <v>54</v>
      </c>
      <c r="F22" s="8" t="s">
        <v>158</v>
      </c>
      <c r="I22" s="10" t="s">
        <v>13</v>
      </c>
      <c r="J22" s="10" t="s">
        <v>12</v>
      </c>
      <c r="M22" s="5" t="str">
        <f t="shared" si="7"/>
        <v/>
      </c>
      <c r="N22" s="5">
        <f t="shared" si="0"/>
        <v>2</v>
      </c>
      <c r="O22" s="5">
        <v>999</v>
      </c>
      <c r="P22" s="5" t="str">
        <f t="shared" si="8"/>
        <v>ILI999NIK</v>
      </c>
      <c r="Q22" s="3" t="str">
        <f t="shared" si="2"/>
        <v/>
      </c>
      <c r="R22" s="3" t="str">
        <f t="shared" si="3"/>
        <v>Motion 4999</v>
      </c>
      <c r="S22" s="3" t="str">
        <f t="shared" si="4"/>
        <v>Motion 999</v>
      </c>
      <c r="T22" s="3" t="str">
        <f t="shared" si="5"/>
        <v/>
      </c>
      <c r="U22" s="3" t="str">
        <f t="shared" si="6"/>
        <v/>
      </c>
    </row>
    <row r="23" spans="1:21" x14ac:dyDescent="0.25">
      <c r="A23">
        <v>34</v>
      </c>
      <c r="B23" t="s">
        <v>9</v>
      </c>
      <c r="C23" t="s">
        <v>39</v>
      </c>
      <c r="D23" t="s">
        <v>55</v>
      </c>
      <c r="F23" s="8" t="s">
        <v>156</v>
      </c>
      <c r="I23" s="10" t="s">
        <v>13</v>
      </c>
      <c r="J23" s="10" t="s">
        <v>12</v>
      </c>
      <c r="M23" s="5" t="str">
        <f t="shared" si="7"/>
        <v/>
      </c>
      <c r="N23" s="5">
        <f t="shared" si="0"/>
        <v>2</v>
      </c>
      <c r="O23" s="5">
        <v>999</v>
      </c>
      <c r="P23" s="5" t="str">
        <f t="shared" si="8"/>
        <v>ING999MAR</v>
      </c>
      <c r="Q23" s="3" t="str">
        <f t="shared" si="2"/>
        <v/>
      </c>
      <c r="R23" s="3" t="str">
        <f t="shared" si="3"/>
        <v>Motion 4999</v>
      </c>
      <c r="S23" s="3" t="str">
        <f t="shared" si="4"/>
        <v>Motion 999</v>
      </c>
      <c r="T23" s="3" t="str">
        <f t="shared" si="5"/>
        <v/>
      </c>
      <c r="U23" s="3" t="str">
        <f t="shared" si="6"/>
        <v/>
      </c>
    </row>
    <row r="24" spans="1:21" x14ac:dyDescent="0.25">
      <c r="A24">
        <v>35</v>
      </c>
      <c r="B24" t="s">
        <v>9</v>
      </c>
      <c r="C24" t="s">
        <v>56</v>
      </c>
      <c r="D24" t="s">
        <v>55</v>
      </c>
      <c r="F24" s="8" t="s">
        <v>156</v>
      </c>
      <c r="J24" s="10" t="s">
        <v>12</v>
      </c>
      <c r="M24" s="5" t="str">
        <f t="shared" si="7"/>
        <v/>
      </c>
      <c r="N24" s="5">
        <f t="shared" si="0"/>
        <v>1</v>
      </c>
      <c r="O24" s="5">
        <v>999</v>
      </c>
      <c r="P24" s="5" t="str">
        <f t="shared" si="8"/>
        <v>ING999JON</v>
      </c>
      <c r="Q24" s="3" t="str">
        <f t="shared" si="2"/>
        <v/>
      </c>
      <c r="R24" s="3" t="str">
        <f t="shared" si="3"/>
        <v/>
      </c>
      <c r="S24" s="3" t="str">
        <f t="shared" si="4"/>
        <v>Motion 999</v>
      </c>
      <c r="T24" s="3" t="str">
        <f t="shared" si="5"/>
        <v/>
      </c>
      <c r="U24" s="3" t="str">
        <f t="shared" si="6"/>
        <v/>
      </c>
    </row>
    <row r="25" spans="1:21" x14ac:dyDescent="0.25">
      <c r="A25">
        <v>36</v>
      </c>
      <c r="B25" t="s">
        <v>9</v>
      </c>
      <c r="C25" t="s">
        <v>39</v>
      </c>
      <c r="D25" t="s">
        <v>57</v>
      </c>
      <c r="F25" s="8" t="s">
        <v>156</v>
      </c>
      <c r="I25" s="10" t="s">
        <v>13</v>
      </c>
      <c r="J25" s="10" t="s">
        <v>12</v>
      </c>
      <c r="M25" s="5" t="str">
        <f t="shared" si="7"/>
        <v/>
      </c>
      <c r="N25" s="5">
        <f t="shared" si="0"/>
        <v>2</v>
      </c>
      <c r="O25" s="5">
        <v>999</v>
      </c>
      <c r="P25" s="5" t="str">
        <f t="shared" si="8"/>
        <v>SAL999MAR</v>
      </c>
      <c r="Q25" s="3" t="str">
        <f t="shared" si="2"/>
        <v/>
      </c>
      <c r="R25" s="3" t="str">
        <f t="shared" si="3"/>
        <v>Motion 4999</v>
      </c>
      <c r="S25" s="3" t="str">
        <f t="shared" si="4"/>
        <v>Motion 999</v>
      </c>
      <c r="T25" s="3" t="str">
        <f t="shared" si="5"/>
        <v/>
      </c>
      <c r="U25" s="3" t="str">
        <f t="shared" si="6"/>
        <v/>
      </c>
    </row>
    <row r="26" spans="1:21" x14ac:dyDescent="0.25">
      <c r="A26">
        <v>37</v>
      </c>
      <c r="B26" t="s">
        <v>9</v>
      </c>
      <c r="C26" t="s">
        <v>58</v>
      </c>
      <c r="D26" t="s">
        <v>59</v>
      </c>
      <c r="F26" s="8" t="s">
        <v>158</v>
      </c>
      <c r="J26" s="10" t="s">
        <v>12</v>
      </c>
      <c r="M26" s="5" t="str">
        <f t="shared" si="7"/>
        <v/>
      </c>
      <c r="N26" s="5">
        <f t="shared" si="0"/>
        <v>1</v>
      </c>
      <c r="O26" s="5">
        <v>999</v>
      </c>
      <c r="P26" s="5" t="str">
        <f t="shared" si="8"/>
        <v>OWE999AND</v>
      </c>
      <c r="Q26" s="3" t="str">
        <f t="shared" si="2"/>
        <v/>
      </c>
      <c r="R26" s="3" t="str">
        <f t="shared" si="3"/>
        <v/>
      </c>
      <c r="S26" s="3" t="str">
        <f t="shared" si="4"/>
        <v>Motion 999</v>
      </c>
      <c r="T26" s="3" t="str">
        <f t="shared" si="5"/>
        <v/>
      </c>
      <c r="U26" s="3" t="str">
        <f t="shared" si="6"/>
        <v/>
      </c>
    </row>
    <row r="27" spans="1:21" x14ac:dyDescent="0.25">
      <c r="A27">
        <v>38</v>
      </c>
      <c r="B27" t="s">
        <v>9</v>
      </c>
      <c r="C27" t="s">
        <v>60</v>
      </c>
      <c r="D27" t="s">
        <v>61</v>
      </c>
      <c r="F27" s="8" t="s">
        <v>156</v>
      </c>
      <c r="J27" s="10" t="s">
        <v>12</v>
      </c>
      <c r="M27" s="5" t="str">
        <f t="shared" si="7"/>
        <v/>
      </c>
      <c r="N27" s="5">
        <f t="shared" si="0"/>
        <v>1</v>
      </c>
      <c r="O27" s="5">
        <v>999</v>
      </c>
      <c r="P27" s="5" t="str">
        <f t="shared" si="8"/>
        <v>LIL999MAT</v>
      </c>
      <c r="Q27" s="3" t="str">
        <f t="shared" si="2"/>
        <v/>
      </c>
      <c r="R27" s="3" t="str">
        <f t="shared" si="3"/>
        <v/>
      </c>
      <c r="S27" s="3" t="str">
        <f t="shared" si="4"/>
        <v>Motion 999</v>
      </c>
      <c r="T27" s="3" t="str">
        <f t="shared" si="5"/>
        <v/>
      </c>
      <c r="U27" s="3" t="str">
        <f t="shared" si="6"/>
        <v/>
      </c>
    </row>
    <row r="28" spans="1:21" x14ac:dyDescent="0.25">
      <c r="A28">
        <v>39</v>
      </c>
      <c r="B28" t="s">
        <v>9</v>
      </c>
      <c r="C28" t="s">
        <v>62</v>
      </c>
      <c r="D28" t="s">
        <v>63</v>
      </c>
      <c r="F28" s="8" t="s">
        <v>156</v>
      </c>
      <c r="G28" s="8">
        <v>707</v>
      </c>
      <c r="H28" s="10" t="s">
        <v>31</v>
      </c>
      <c r="M28" s="5" t="str">
        <f t="shared" si="7"/>
        <v/>
      </c>
      <c r="N28" s="5">
        <f t="shared" si="0"/>
        <v>1</v>
      </c>
      <c r="O28" s="11">
        <f>G28</f>
        <v>707</v>
      </c>
      <c r="P28" s="5" t="str">
        <f t="shared" si="8"/>
        <v>GOR707DEN</v>
      </c>
      <c r="Q28" s="3" t="str">
        <f t="shared" si="2"/>
        <v>Motion 707</v>
      </c>
      <c r="R28" s="3" t="str">
        <f t="shared" si="3"/>
        <v/>
      </c>
      <c r="S28" s="3" t="str">
        <f t="shared" si="4"/>
        <v/>
      </c>
      <c r="T28" s="3" t="str">
        <f t="shared" si="5"/>
        <v/>
      </c>
      <c r="U28" s="3" t="str">
        <f t="shared" si="6"/>
        <v/>
      </c>
    </row>
    <row r="29" spans="1:21" x14ac:dyDescent="0.25">
      <c r="A29">
        <v>40</v>
      </c>
      <c r="B29" t="s">
        <v>9</v>
      </c>
      <c r="C29" t="s">
        <v>51</v>
      </c>
      <c r="D29" t="s">
        <v>64</v>
      </c>
      <c r="F29" s="8" t="s">
        <v>156</v>
      </c>
      <c r="J29" s="10" t="s">
        <v>12</v>
      </c>
      <c r="M29" s="5" t="str">
        <f t="shared" si="7"/>
        <v/>
      </c>
      <c r="N29" s="5">
        <f t="shared" si="0"/>
        <v>1</v>
      </c>
      <c r="O29" s="5">
        <v>999</v>
      </c>
      <c r="P29" s="5" t="str">
        <f t="shared" si="8"/>
        <v>HAR999SCO</v>
      </c>
      <c r="Q29" s="3" t="str">
        <f t="shared" si="2"/>
        <v/>
      </c>
      <c r="R29" s="3" t="str">
        <f t="shared" si="3"/>
        <v/>
      </c>
      <c r="S29" s="3" t="str">
        <f t="shared" si="4"/>
        <v>Motion 999</v>
      </c>
      <c r="T29" s="3" t="str">
        <f t="shared" si="5"/>
        <v/>
      </c>
      <c r="U29" s="3" t="str">
        <f t="shared" si="6"/>
        <v/>
      </c>
    </row>
    <row r="30" spans="1:21" x14ac:dyDescent="0.25">
      <c r="A30">
        <v>41</v>
      </c>
      <c r="B30" t="s">
        <v>43</v>
      </c>
      <c r="C30" t="s">
        <v>65</v>
      </c>
      <c r="D30" t="s">
        <v>64</v>
      </c>
      <c r="F30" s="8" t="s">
        <v>156</v>
      </c>
      <c r="J30" s="10" t="s">
        <v>12</v>
      </c>
      <c r="M30" s="5" t="str">
        <f t="shared" si="7"/>
        <v/>
      </c>
      <c r="N30" s="5">
        <f t="shared" si="0"/>
        <v>1</v>
      </c>
      <c r="O30" s="5">
        <v>999</v>
      </c>
      <c r="P30" s="5" t="str">
        <f t="shared" si="8"/>
        <v>HAR999SIA</v>
      </c>
      <c r="Q30" s="3" t="str">
        <f t="shared" si="2"/>
        <v/>
      </c>
      <c r="R30" s="3" t="str">
        <f t="shared" si="3"/>
        <v/>
      </c>
      <c r="S30" s="3" t="str">
        <f t="shared" si="4"/>
        <v>Motion 999</v>
      </c>
      <c r="T30" s="3" t="str">
        <f t="shared" si="5"/>
        <v/>
      </c>
      <c r="U30" s="3" t="str">
        <f t="shared" si="6"/>
        <v/>
      </c>
    </row>
    <row r="31" spans="1:21" x14ac:dyDescent="0.25">
      <c r="A31">
        <v>42</v>
      </c>
      <c r="B31" t="s">
        <v>9</v>
      </c>
      <c r="C31" t="s">
        <v>66</v>
      </c>
      <c r="D31" t="s">
        <v>36</v>
      </c>
      <c r="F31" s="8" t="s">
        <v>156</v>
      </c>
      <c r="J31" s="10" t="s">
        <v>12</v>
      </c>
      <c r="M31" s="5" t="str">
        <f t="shared" si="7"/>
        <v/>
      </c>
      <c r="N31" s="5">
        <f t="shared" si="0"/>
        <v>1</v>
      </c>
      <c r="O31" s="5">
        <v>999</v>
      </c>
      <c r="P31" s="5" t="str">
        <f t="shared" si="8"/>
        <v>MEY999NEI</v>
      </c>
      <c r="Q31" s="3" t="str">
        <f t="shared" si="2"/>
        <v/>
      </c>
      <c r="R31" s="3" t="str">
        <f t="shared" si="3"/>
        <v/>
      </c>
      <c r="S31" s="3" t="str">
        <f t="shared" si="4"/>
        <v>Motion 999</v>
      </c>
      <c r="T31" s="3" t="str">
        <f t="shared" si="5"/>
        <v/>
      </c>
      <c r="U31" s="3" t="str">
        <f t="shared" si="6"/>
        <v/>
      </c>
    </row>
    <row r="32" spans="1:21" x14ac:dyDescent="0.25">
      <c r="A32">
        <v>43</v>
      </c>
      <c r="B32" t="s">
        <v>9</v>
      </c>
      <c r="C32" t="s">
        <v>67</v>
      </c>
      <c r="D32" t="s">
        <v>68</v>
      </c>
      <c r="F32" s="8" t="s">
        <v>158</v>
      </c>
      <c r="J32" s="10" t="s">
        <v>12</v>
      </c>
      <c r="M32" s="5" t="str">
        <f t="shared" si="7"/>
        <v/>
      </c>
      <c r="N32" s="5">
        <f t="shared" si="0"/>
        <v>1</v>
      </c>
      <c r="O32" s="5">
        <v>999</v>
      </c>
      <c r="P32" s="5" t="str">
        <f t="shared" si="8"/>
        <v>WAT999STE</v>
      </c>
      <c r="Q32" s="3" t="str">
        <f t="shared" si="2"/>
        <v/>
      </c>
      <c r="R32" s="3" t="str">
        <f t="shared" si="3"/>
        <v/>
      </c>
      <c r="S32" s="3" t="str">
        <f t="shared" si="4"/>
        <v>Motion 999</v>
      </c>
      <c r="T32" s="3" t="str">
        <f t="shared" si="5"/>
        <v/>
      </c>
      <c r="U32" s="3" t="str">
        <f t="shared" si="6"/>
        <v/>
      </c>
    </row>
    <row r="33" spans="1:21" x14ac:dyDescent="0.25">
      <c r="A33">
        <v>44</v>
      </c>
      <c r="B33" t="s">
        <v>9</v>
      </c>
      <c r="C33" t="s">
        <v>69</v>
      </c>
      <c r="D33" t="s">
        <v>70</v>
      </c>
      <c r="F33" s="8" t="s">
        <v>158</v>
      </c>
      <c r="I33" s="10" t="s">
        <v>13</v>
      </c>
      <c r="J33" s="10" t="s">
        <v>12</v>
      </c>
      <c r="M33" s="5" t="str">
        <f t="shared" si="7"/>
        <v/>
      </c>
      <c r="N33" s="5">
        <f t="shared" si="0"/>
        <v>2</v>
      </c>
      <c r="O33" s="5">
        <v>999</v>
      </c>
      <c r="P33" s="5" t="str">
        <f t="shared" si="8"/>
        <v>LOR999BRE</v>
      </c>
      <c r="Q33" s="3" t="str">
        <f t="shared" si="2"/>
        <v/>
      </c>
      <c r="R33" s="3" t="str">
        <f t="shared" si="3"/>
        <v>Motion 4999</v>
      </c>
      <c r="S33" s="3" t="str">
        <f t="shared" si="4"/>
        <v>Motion 999</v>
      </c>
      <c r="T33" s="3" t="str">
        <f t="shared" si="5"/>
        <v/>
      </c>
      <c r="U33" s="3" t="str">
        <f t="shared" si="6"/>
        <v/>
      </c>
    </row>
    <row r="34" spans="1:21" x14ac:dyDescent="0.25">
      <c r="A34">
        <v>45</v>
      </c>
      <c r="B34" t="s">
        <v>9</v>
      </c>
      <c r="C34" t="s">
        <v>71</v>
      </c>
      <c r="D34" t="s">
        <v>70</v>
      </c>
      <c r="F34" s="8" t="s">
        <v>158</v>
      </c>
      <c r="J34" s="10" t="s">
        <v>12</v>
      </c>
      <c r="M34" s="5" t="str">
        <f t="shared" si="7"/>
        <v/>
      </c>
      <c r="N34" s="5">
        <f t="shared" ref="N34:N65" si="9">COUNTA(H34:L34)</f>
        <v>1</v>
      </c>
      <c r="O34" s="5">
        <v>999</v>
      </c>
      <c r="P34" s="5" t="str">
        <f t="shared" si="8"/>
        <v>LOR999FRA</v>
      </c>
      <c r="Q34" s="3" t="str">
        <f t="shared" si="2"/>
        <v/>
      </c>
      <c r="R34" s="3" t="str">
        <f t="shared" si="3"/>
        <v/>
      </c>
      <c r="S34" s="3" t="str">
        <f t="shared" si="4"/>
        <v>Motion 999</v>
      </c>
      <c r="T34" s="3" t="str">
        <f t="shared" si="5"/>
        <v/>
      </c>
      <c r="U34" s="3" t="str">
        <f t="shared" si="6"/>
        <v/>
      </c>
    </row>
    <row r="35" spans="1:21" x14ac:dyDescent="0.25">
      <c r="A35">
        <v>46</v>
      </c>
      <c r="B35" t="s">
        <v>9</v>
      </c>
      <c r="C35" t="s">
        <v>72</v>
      </c>
      <c r="D35" t="s">
        <v>30</v>
      </c>
      <c r="F35" s="8" t="s">
        <v>158</v>
      </c>
      <c r="I35" s="10" t="s">
        <v>13</v>
      </c>
      <c r="J35" s="10" t="s">
        <v>12</v>
      </c>
      <c r="M35" s="5" t="str">
        <f t="shared" si="7"/>
        <v/>
      </c>
      <c r="N35" s="5">
        <f t="shared" si="9"/>
        <v>2</v>
      </c>
      <c r="O35" s="5">
        <v>999</v>
      </c>
      <c r="P35" s="5" t="str">
        <f t="shared" si="8"/>
        <v>DIC999FIN</v>
      </c>
      <c r="Q35" s="3" t="str">
        <f t="shared" si="2"/>
        <v/>
      </c>
      <c r="R35" s="3" t="str">
        <f t="shared" si="3"/>
        <v>Motion 4999</v>
      </c>
      <c r="S35" s="3" t="str">
        <f t="shared" si="4"/>
        <v>Motion 999</v>
      </c>
      <c r="T35" s="3" t="str">
        <f t="shared" si="5"/>
        <v/>
      </c>
      <c r="U35" s="3" t="str">
        <f t="shared" si="6"/>
        <v/>
      </c>
    </row>
    <row r="36" spans="1:21" x14ac:dyDescent="0.25">
      <c r="A36">
        <v>47</v>
      </c>
      <c r="B36" t="s">
        <v>9</v>
      </c>
      <c r="C36" t="s">
        <v>11</v>
      </c>
      <c r="D36" t="s">
        <v>73</v>
      </c>
      <c r="F36" s="8" t="s">
        <v>156</v>
      </c>
      <c r="G36" s="12">
        <v>623</v>
      </c>
      <c r="J36" s="10" t="s">
        <v>12</v>
      </c>
      <c r="M36" s="5" t="str">
        <f t="shared" si="7"/>
        <v/>
      </c>
      <c r="N36" s="5">
        <f t="shared" si="9"/>
        <v>1</v>
      </c>
      <c r="O36" s="11">
        <f>G36</f>
        <v>623</v>
      </c>
      <c r="P36" s="5" t="str">
        <f t="shared" si="8"/>
        <v>FUL623GEO</v>
      </c>
      <c r="Q36" s="3" t="str">
        <f t="shared" si="2"/>
        <v/>
      </c>
      <c r="R36" s="3" t="str">
        <f t="shared" si="3"/>
        <v/>
      </c>
      <c r="S36" s="3" t="str">
        <f t="shared" si="4"/>
        <v>Motion 623</v>
      </c>
      <c r="T36" s="3" t="str">
        <f t="shared" si="5"/>
        <v/>
      </c>
      <c r="U36" s="3" t="str">
        <f t="shared" si="6"/>
        <v/>
      </c>
    </row>
    <row r="37" spans="1:21" x14ac:dyDescent="0.25">
      <c r="A37">
        <v>48</v>
      </c>
      <c r="B37" t="s">
        <v>9</v>
      </c>
      <c r="C37" t="s">
        <v>74</v>
      </c>
      <c r="D37" t="s">
        <v>75</v>
      </c>
      <c r="F37" s="8" t="s">
        <v>158</v>
      </c>
      <c r="J37" s="10" t="s">
        <v>12</v>
      </c>
      <c r="M37" s="5" t="str">
        <f t="shared" si="7"/>
        <v/>
      </c>
      <c r="N37" s="5">
        <f t="shared" si="9"/>
        <v>1</v>
      </c>
      <c r="O37" s="5">
        <v>999</v>
      </c>
      <c r="P37" s="5" t="str">
        <f t="shared" si="8"/>
        <v>SPA999BOB</v>
      </c>
      <c r="Q37" s="3" t="str">
        <f t="shared" si="2"/>
        <v/>
      </c>
      <c r="R37" s="3" t="str">
        <f t="shared" si="3"/>
        <v/>
      </c>
      <c r="S37" s="3" t="str">
        <f t="shared" si="4"/>
        <v>Motion 999</v>
      </c>
      <c r="T37" s="3" t="str">
        <f t="shared" si="5"/>
        <v/>
      </c>
      <c r="U37" s="3" t="str">
        <f t="shared" si="6"/>
        <v/>
      </c>
    </row>
    <row r="38" spans="1:21" x14ac:dyDescent="0.25">
      <c r="A38">
        <v>49</v>
      </c>
      <c r="B38" t="s">
        <v>9</v>
      </c>
      <c r="C38" t="s">
        <v>76</v>
      </c>
      <c r="D38" t="s">
        <v>77</v>
      </c>
      <c r="F38" s="8" t="s">
        <v>158</v>
      </c>
      <c r="J38" s="10" t="s">
        <v>12</v>
      </c>
      <c r="M38" s="5" t="str">
        <f t="shared" si="7"/>
        <v/>
      </c>
      <c r="N38" s="5">
        <f t="shared" si="9"/>
        <v>1</v>
      </c>
      <c r="O38" s="5">
        <v>999</v>
      </c>
      <c r="P38" s="5" t="str">
        <f t="shared" si="8"/>
        <v>ARN999PAU</v>
      </c>
      <c r="Q38" s="3" t="str">
        <f t="shared" si="2"/>
        <v/>
      </c>
      <c r="R38" s="3" t="str">
        <f t="shared" si="3"/>
        <v/>
      </c>
      <c r="S38" s="3" t="str">
        <f t="shared" si="4"/>
        <v>Motion 999</v>
      </c>
      <c r="T38" s="3" t="str">
        <f t="shared" si="5"/>
        <v/>
      </c>
      <c r="U38" s="3" t="str">
        <f t="shared" si="6"/>
        <v/>
      </c>
    </row>
    <row r="39" spans="1:21" x14ac:dyDescent="0.25">
      <c r="A39">
        <v>50</v>
      </c>
      <c r="B39" t="s">
        <v>9</v>
      </c>
      <c r="C39" t="s">
        <v>67</v>
      </c>
      <c r="D39" t="s">
        <v>78</v>
      </c>
      <c r="F39" s="8" t="s">
        <v>158</v>
      </c>
      <c r="J39" s="10" t="s">
        <v>12</v>
      </c>
      <c r="M39" s="5" t="str">
        <f t="shared" si="7"/>
        <v/>
      </c>
      <c r="N39" s="5">
        <f t="shared" si="9"/>
        <v>1</v>
      </c>
      <c r="O39" s="5">
        <v>999</v>
      </c>
      <c r="P39" s="5" t="str">
        <f t="shared" si="8"/>
        <v>THO999STE</v>
      </c>
      <c r="Q39" s="3" t="str">
        <f t="shared" si="2"/>
        <v/>
      </c>
      <c r="R39" s="3" t="str">
        <f t="shared" si="3"/>
        <v/>
      </c>
      <c r="S39" s="3" t="str">
        <f t="shared" si="4"/>
        <v>Motion 999</v>
      </c>
      <c r="T39" s="3" t="str">
        <f t="shared" si="5"/>
        <v/>
      </c>
      <c r="U39" s="3" t="str">
        <f t="shared" si="6"/>
        <v/>
      </c>
    </row>
    <row r="40" spans="1:21" x14ac:dyDescent="0.25">
      <c r="A40">
        <v>51</v>
      </c>
      <c r="B40" t="s">
        <v>43</v>
      </c>
      <c r="C40" t="s">
        <v>79</v>
      </c>
      <c r="D40" t="s">
        <v>80</v>
      </c>
      <c r="F40" s="8" t="s">
        <v>158</v>
      </c>
      <c r="J40" s="10" t="s">
        <v>12</v>
      </c>
      <c r="M40" s="5" t="str">
        <f t="shared" si="7"/>
        <v/>
      </c>
      <c r="N40" s="5">
        <f t="shared" si="9"/>
        <v>1</v>
      </c>
      <c r="O40" s="5">
        <v>999</v>
      </c>
      <c r="P40" s="5" t="str">
        <f t="shared" si="8"/>
        <v>WAT999JOE</v>
      </c>
      <c r="Q40" s="3" t="str">
        <f t="shared" si="2"/>
        <v/>
      </c>
      <c r="R40" s="3" t="str">
        <f t="shared" si="3"/>
        <v/>
      </c>
      <c r="S40" s="3" t="str">
        <f t="shared" si="4"/>
        <v>Motion 999</v>
      </c>
      <c r="T40" s="3" t="str">
        <f t="shared" si="5"/>
        <v/>
      </c>
      <c r="U40" s="3" t="str">
        <f t="shared" si="6"/>
        <v/>
      </c>
    </row>
    <row r="41" spans="1:21" x14ac:dyDescent="0.25">
      <c r="A41">
        <v>52</v>
      </c>
      <c r="B41" t="s">
        <v>43</v>
      </c>
      <c r="C41" t="s">
        <v>81</v>
      </c>
      <c r="D41" t="s">
        <v>82</v>
      </c>
      <c r="F41" s="8" t="s">
        <v>158</v>
      </c>
      <c r="J41" s="10" t="s">
        <v>12</v>
      </c>
      <c r="M41" s="5" t="str">
        <f t="shared" si="7"/>
        <v/>
      </c>
      <c r="N41" s="5">
        <f t="shared" si="9"/>
        <v>1</v>
      </c>
      <c r="O41" s="5">
        <v>999</v>
      </c>
      <c r="P41" s="5" t="str">
        <f t="shared" si="8"/>
        <v>DAF999CHR</v>
      </c>
      <c r="Q41" s="3" t="str">
        <f t="shared" si="2"/>
        <v/>
      </c>
      <c r="R41" s="3" t="str">
        <f t="shared" si="3"/>
        <v/>
      </c>
      <c r="S41" s="3" t="str">
        <f t="shared" si="4"/>
        <v>Motion 999</v>
      </c>
      <c r="T41" s="3" t="str">
        <f t="shared" si="5"/>
        <v/>
      </c>
      <c r="U41" s="3" t="str">
        <f t="shared" si="6"/>
        <v/>
      </c>
    </row>
    <row r="42" spans="1:21" x14ac:dyDescent="0.25">
      <c r="A42">
        <v>53</v>
      </c>
      <c r="B42" t="s">
        <v>9</v>
      </c>
      <c r="C42" t="s">
        <v>56</v>
      </c>
      <c r="D42" t="s">
        <v>83</v>
      </c>
      <c r="F42" s="8" t="s">
        <v>158</v>
      </c>
      <c r="J42" s="10" t="s">
        <v>12</v>
      </c>
      <c r="M42" s="5" t="str">
        <f t="shared" si="7"/>
        <v/>
      </c>
      <c r="N42" s="5">
        <f t="shared" si="9"/>
        <v>1</v>
      </c>
      <c r="O42" s="5">
        <v>999</v>
      </c>
      <c r="P42" s="5" t="str">
        <f t="shared" si="8"/>
        <v>WIL999JON</v>
      </c>
      <c r="Q42" s="3" t="str">
        <f t="shared" si="2"/>
        <v/>
      </c>
      <c r="R42" s="3" t="str">
        <f t="shared" si="3"/>
        <v/>
      </c>
      <c r="S42" s="3" t="str">
        <f t="shared" si="4"/>
        <v>Motion 999</v>
      </c>
      <c r="T42" s="3" t="str">
        <f t="shared" si="5"/>
        <v/>
      </c>
      <c r="U42" s="3" t="str">
        <f t="shared" si="6"/>
        <v/>
      </c>
    </row>
    <row r="43" spans="1:21" x14ac:dyDescent="0.25">
      <c r="A43">
        <v>54</v>
      </c>
      <c r="B43" t="s">
        <v>9</v>
      </c>
      <c r="C43" t="s">
        <v>84</v>
      </c>
      <c r="D43" t="s">
        <v>85</v>
      </c>
      <c r="F43" s="8" t="s">
        <v>158</v>
      </c>
      <c r="H43" s="10" t="s">
        <v>31</v>
      </c>
      <c r="M43" s="5" t="str">
        <f t="shared" si="7"/>
        <v/>
      </c>
      <c r="N43" s="5">
        <f t="shared" si="9"/>
        <v>1</v>
      </c>
      <c r="O43" s="5">
        <v>999</v>
      </c>
      <c r="P43" s="5" t="str">
        <f t="shared" si="8"/>
        <v>SHE999IAN</v>
      </c>
      <c r="Q43" s="3" t="str">
        <f t="shared" si="2"/>
        <v>Motion 999</v>
      </c>
      <c r="R43" s="3" t="str">
        <f t="shared" si="3"/>
        <v/>
      </c>
      <c r="S43" s="3" t="str">
        <f t="shared" si="4"/>
        <v/>
      </c>
      <c r="T43" s="3" t="str">
        <f t="shared" si="5"/>
        <v/>
      </c>
      <c r="U43" s="3" t="str">
        <f t="shared" si="6"/>
        <v/>
      </c>
    </row>
    <row r="44" spans="1:21" x14ac:dyDescent="0.25">
      <c r="A44">
        <v>55</v>
      </c>
      <c r="B44" t="s">
        <v>9</v>
      </c>
      <c r="C44" t="s">
        <v>86</v>
      </c>
      <c r="D44" t="s">
        <v>87</v>
      </c>
      <c r="G44" s="12">
        <v>846</v>
      </c>
      <c r="K44" s="10" t="s">
        <v>21</v>
      </c>
      <c r="M44" s="5" t="str">
        <f t="shared" si="7"/>
        <v/>
      </c>
      <c r="N44" s="5">
        <f t="shared" si="9"/>
        <v>1</v>
      </c>
      <c r="O44" s="11">
        <f>G44</f>
        <v>846</v>
      </c>
      <c r="P44" s="5" t="str">
        <f t="shared" si="8"/>
        <v>BUR846EMI</v>
      </c>
      <c r="Q44" s="3" t="str">
        <f t="shared" si="2"/>
        <v/>
      </c>
      <c r="R44" s="3" t="str">
        <f t="shared" si="3"/>
        <v/>
      </c>
      <c r="S44" s="3" t="str">
        <f t="shared" si="4"/>
        <v/>
      </c>
      <c r="T44" s="3" t="str">
        <f t="shared" si="5"/>
        <v>Motion 846</v>
      </c>
      <c r="U44" s="3" t="str">
        <f t="shared" si="6"/>
        <v/>
      </c>
    </row>
    <row r="45" spans="1:21" x14ac:dyDescent="0.25">
      <c r="A45">
        <v>56</v>
      </c>
      <c r="B45" t="s">
        <v>9</v>
      </c>
      <c r="C45" t="s">
        <v>88</v>
      </c>
      <c r="D45" t="s">
        <v>89</v>
      </c>
      <c r="F45" s="8" t="s">
        <v>158</v>
      </c>
      <c r="I45" s="10" t="s">
        <v>13</v>
      </c>
      <c r="J45" s="10" t="s">
        <v>12</v>
      </c>
      <c r="M45" s="5" t="str">
        <f t="shared" si="7"/>
        <v/>
      </c>
      <c r="N45" s="5">
        <f t="shared" si="9"/>
        <v>2</v>
      </c>
      <c r="O45" s="5">
        <v>999</v>
      </c>
      <c r="P45" s="5" t="str">
        <f t="shared" si="8"/>
        <v>DVO999PAV</v>
      </c>
      <c r="Q45" s="3" t="str">
        <f t="shared" si="2"/>
        <v/>
      </c>
      <c r="R45" s="3" t="str">
        <f t="shared" si="3"/>
        <v>Motion 4999</v>
      </c>
      <c r="S45" s="3" t="str">
        <f t="shared" si="4"/>
        <v>Motion 999</v>
      </c>
      <c r="T45" s="3" t="str">
        <f t="shared" si="5"/>
        <v/>
      </c>
      <c r="U45" s="3" t="str">
        <f t="shared" si="6"/>
        <v/>
      </c>
    </row>
    <row r="46" spans="1:21" x14ac:dyDescent="0.25">
      <c r="A46">
        <v>57</v>
      </c>
      <c r="B46" t="s">
        <v>9</v>
      </c>
      <c r="C46" t="s">
        <v>90</v>
      </c>
      <c r="D46" t="s">
        <v>91</v>
      </c>
      <c r="F46" s="8" t="s">
        <v>158</v>
      </c>
      <c r="J46" s="10" t="s">
        <v>12</v>
      </c>
      <c r="L46" s="10" t="s">
        <v>92</v>
      </c>
      <c r="M46" s="5" t="str">
        <f t="shared" si="7"/>
        <v/>
      </c>
      <c r="N46" s="5">
        <f t="shared" si="9"/>
        <v>2</v>
      </c>
      <c r="O46" s="5">
        <v>999</v>
      </c>
      <c r="P46" s="5" t="str">
        <f t="shared" si="8"/>
        <v>RUS999ROB</v>
      </c>
      <c r="Q46" s="3" t="str">
        <f t="shared" si="2"/>
        <v/>
      </c>
      <c r="R46" s="3" t="str">
        <f t="shared" si="3"/>
        <v/>
      </c>
      <c r="S46" s="3" t="str">
        <f t="shared" si="4"/>
        <v>Motion 4999</v>
      </c>
      <c r="T46" s="3" t="str">
        <f t="shared" si="5"/>
        <v/>
      </c>
      <c r="U46" s="3" t="str">
        <f t="shared" si="6"/>
        <v>Motion 1999</v>
      </c>
    </row>
    <row r="47" spans="1:21" x14ac:dyDescent="0.25">
      <c r="A47">
        <v>58</v>
      </c>
      <c r="B47" t="s">
        <v>9</v>
      </c>
      <c r="C47" t="s">
        <v>93</v>
      </c>
      <c r="D47" t="s">
        <v>94</v>
      </c>
      <c r="F47" s="8" t="s">
        <v>156</v>
      </c>
      <c r="J47" s="10" t="s">
        <v>12</v>
      </c>
      <c r="M47" s="5" t="str">
        <f t="shared" si="7"/>
        <v/>
      </c>
      <c r="N47" s="5">
        <f t="shared" si="9"/>
        <v>1</v>
      </c>
      <c r="O47" s="5">
        <v>999</v>
      </c>
      <c r="P47" s="5" t="str">
        <f t="shared" si="8"/>
        <v>BRA999JAM</v>
      </c>
      <c r="Q47" s="3" t="str">
        <f t="shared" si="2"/>
        <v/>
      </c>
      <c r="R47" s="3" t="str">
        <f t="shared" si="3"/>
        <v/>
      </c>
      <c r="S47" s="3" t="str">
        <f t="shared" si="4"/>
        <v>Motion 999</v>
      </c>
      <c r="T47" s="3" t="str">
        <f t="shared" si="5"/>
        <v/>
      </c>
      <c r="U47" s="3" t="str">
        <f t="shared" si="6"/>
        <v/>
      </c>
    </row>
    <row r="48" spans="1:21" x14ac:dyDescent="0.25">
      <c r="A48">
        <v>59</v>
      </c>
      <c r="B48" t="s">
        <v>9</v>
      </c>
      <c r="C48" t="s">
        <v>95</v>
      </c>
      <c r="D48" t="s">
        <v>96</v>
      </c>
      <c r="F48" s="8" t="s">
        <v>156</v>
      </c>
      <c r="J48" s="10" t="s">
        <v>12</v>
      </c>
      <c r="M48" s="5" t="str">
        <f t="shared" si="7"/>
        <v/>
      </c>
      <c r="N48" s="5">
        <f t="shared" si="9"/>
        <v>1</v>
      </c>
      <c r="O48" s="5">
        <v>999</v>
      </c>
      <c r="P48" s="5" t="str">
        <f t="shared" si="8"/>
        <v>OLI999JOH</v>
      </c>
      <c r="Q48" s="3" t="str">
        <f t="shared" si="2"/>
        <v/>
      </c>
      <c r="R48" s="3" t="str">
        <f t="shared" si="3"/>
        <v/>
      </c>
      <c r="S48" s="3" t="str">
        <f t="shared" si="4"/>
        <v>Motion 999</v>
      </c>
      <c r="T48" s="3" t="str">
        <f t="shared" si="5"/>
        <v/>
      </c>
      <c r="U48" s="3" t="str">
        <f t="shared" si="6"/>
        <v/>
      </c>
    </row>
    <row r="49" spans="1:21" x14ac:dyDescent="0.25">
      <c r="A49">
        <v>60</v>
      </c>
      <c r="B49" t="s">
        <v>9</v>
      </c>
      <c r="C49" t="s">
        <v>97</v>
      </c>
      <c r="D49" t="s">
        <v>98</v>
      </c>
      <c r="F49" s="8" t="s">
        <v>158</v>
      </c>
      <c r="J49" s="10" t="s">
        <v>12</v>
      </c>
      <c r="M49" s="5" t="str">
        <f t="shared" si="7"/>
        <v/>
      </c>
      <c r="N49" s="5">
        <f t="shared" si="9"/>
        <v>1</v>
      </c>
      <c r="O49" s="5">
        <v>999</v>
      </c>
      <c r="P49" s="5" t="str">
        <f t="shared" si="8"/>
        <v>BAR999ANT</v>
      </c>
      <c r="Q49" s="3" t="str">
        <f t="shared" si="2"/>
        <v/>
      </c>
      <c r="R49" s="3" t="str">
        <f t="shared" si="3"/>
        <v/>
      </c>
      <c r="S49" s="3" t="str">
        <f t="shared" si="4"/>
        <v>Motion 999</v>
      </c>
      <c r="T49" s="3" t="str">
        <f t="shared" si="5"/>
        <v/>
      </c>
      <c r="U49" s="3" t="str">
        <f t="shared" si="6"/>
        <v/>
      </c>
    </row>
    <row r="50" spans="1:21" x14ac:dyDescent="0.25">
      <c r="A50">
        <v>61</v>
      </c>
      <c r="B50" t="s">
        <v>9</v>
      </c>
      <c r="C50" t="s">
        <v>49</v>
      </c>
      <c r="D50" t="s">
        <v>99</v>
      </c>
      <c r="L50" s="10" t="s">
        <v>92</v>
      </c>
      <c r="M50" s="5" t="str">
        <f t="shared" si="7"/>
        <v/>
      </c>
      <c r="N50" s="5">
        <f t="shared" si="9"/>
        <v>1</v>
      </c>
      <c r="O50" s="5">
        <v>999</v>
      </c>
      <c r="P50" s="5" t="str">
        <f t="shared" si="8"/>
        <v>MAR999PET</v>
      </c>
      <c r="Q50" s="3" t="str">
        <f t="shared" si="2"/>
        <v/>
      </c>
      <c r="R50" s="3" t="str">
        <f t="shared" si="3"/>
        <v/>
      </c>
      <c r="S50" s="3" t="str">
        <f t="shared" si="4"/>
        <v/>
      </c>
      <c r="T50" s="3" t="str">
        <f t="shared" si="5"/>
        <v/>
      </c>
      <c r="U50" s="3" t="str">
        <f t="shared" si="6"/>
        <v>Motion 999</v>
      </c>
    </row>
    <row r="51" spans="1:21" x14ac:dyDescent="0.25">
      <c r="A51">
        <v>63</v>
      </c>
      <c r="B51" t="s">
        <v>9</v>
      </c>
      <c r="C51" t="s">
        <v>72</v>
      </c>
      <c r="D51" t="s">
        <v>100</v>
      </c>
      <c r="E51" s="8" t="s">
        <v>156</v>
      </c>
      <c r="F51" s="8" t="s">
        <v>156</v>
      </c>
      <c r="H51" s="10" t="s">
        <v>31</v>
      </c>
      <c r="M51" s="6">
        <f t="shared" si="7"/>
        <v>2</v>
      </c>
      <c r="N51" s="5">
        <f t="shared" si="9"/>
        <v>1</v>
      </c>
      <c r="O51" s="5">
        <v>999</v>
      </c>
      <c r="P51" s="5" t="str">
        <f t="shared" si="8"/>
        <v>BER999FIN</v>
      </c>
      <c r="Q51" s="3" t="str">
        <f t="shared" si="2"/>
        <v>Motion 999</v>
      </c>
      <c r="R51" s="3" t="str">
        <f t="shared" si="3"/>
        <v/>
      </c>
      <c r="S51" s="3" t="str">
        <f t="shared" si="4"/>
        <v/>
      </c>
      <c r="T51" s="3" t="str">
        <f t="shared" si="5"/>
        <v/>
      </c>
      <c r="U51" s="3" t="str">
        <f t="shared" si="6"/>
        <v/>
      </c>
    </row>
    <row r="52" spans="1:21" x14ac:dyDescent="0.25">
      <c r="A52">
        <v>64</v>
      </c>
      <c r="B52" t="s">
        <v>9</v>
      </c>
      <c r="C52" t="s">
        <v>58</v>
      </c>
      <c r="D52" t="s">
        <v>101</v>
      </c>
      <c r="F52" s="8" t="s">
        <v>156</v>
      </c>
      <c r="H52" s="10" t="s">
        <v>31</v>
      </c>
      <c r="M52" s="5" t="str">
        <f t="shared" si="7"/>
        <v/>
      </c>
      <c r="N52" s="5">
        <f t="shared" si="9"/>
        <v>1</v>
      </c>
      <c r="O52" s="5">
        <v>999</v>
      </c>
      <c r="P52" s="5" t="str">
        <f t="shared" si="8"/>
        <v>COL999AND</v>
      </c>
      <c r="Q52" s="3" t="str">
        <f t="shared" si="2"/>
        <v>Motion 999</v>
      </c>
      <c r="R52" s="3" t="str">
        <f t="shared" si="3"/>
        <v/>
      </c>
      <c r="S52" s="3" t="str">
        <f t="shared" si="4"/>
        <v/>
      </c>
      <c r="T52" s="3" t="str">
        <f t="shared" si="5"/>
        <v/>
      </c>
      <c r="U52" s="3" t="str">
        <f t="shared" si="6"/>
        <v/>
      </c>
    </row>
    <row r="53" spans="1:21" x14ac:dyDescent="0.25">
      <c r="A53">
        <v>65</v>
      </c>
      <c r="B53" t="s">
        <v>22</v>
      </c>
      <c r="C53" t="s">
        <v>102</v>
      </c>
      <c r="D53" t="s">
        <v>101</v>
      </c>
      <c r="F53" s="8" t="s">
        <v>156</v>
      </c>
      <c r="H53" s="10" t="s">
        <v>31</v>
      </c>
      <c r="M53" s="5" t="str">
        <f t="shared" si="7"/>
        <v/>
      </c>
      <c r="N53" s="5">
        <f t="shared" si="9"/>
        <v>1</v>
      </c>
      <c r="O53" s="5">
        <v>999</v>
      </c>
      <c r="P53" s="5" t="str">
        <f t="shared" si="8"/>
        <v>COL999ANN</v>
      </c>
      <c r="Q53" s="3" t="str">
        <f t="shared" si="2"/>
        <v>Motion 999</v>
      </c>
      <c r="R53" s="3" t="str">
        <f t="shared" si="3"/>
        <v/>
      </c>
      <c r="S53" s="3" t="str">
        <f t="shared" si="4"/>
        <v/>
      </c>
      <c r="T53" s="3" t="str">
        <f t="shared" si="5"/>
        <v/>
      </c>
      <c r="U53" s="3" t="str">
        <f t="shared" si="6"/>
        <v/>
      </c>
    </row>
    <row r="54" spans="1:21" x14ac:dyDescent="0.25">
      <c r="A54">
        <v>66</v>
      </c>
      <c r="B54" t="s">
        <v>9</v>
      </c>
      <c r="C54" t="s">
        <v>103</v>
      </c>
      <c r="D54" t="s">
        <v>100</v>
      </c>
      <c r="E54" s="8" t="s">
        <v>156</v>
      </c>
      <c r="F54" s="8" t="s">
        <v>156</v>
      </c>
      <c r="H54" s="10" t="s">
        <v>31</v>
      </c>
      <c r="M54" s="5" t="str">
        <f t="shared" si="7"/>
        <v/>
      </c>
      <c r="N54" s="5">
        <f t="shared" si="9"/>
        <v>1</v>
      </c>
      <c r="O54" s="5">
        <v>999</v>
      </c>
      <c r="P54" s="5" t="str">
        <f t="shared" si="8"/>
        <v>BER999ARL</v>
      </c>
      <c r="Q54" s="3" t="str">
        <f t="shared" si="2"/>
        <v>Motion 999</v>
      </c>
      <c r="R54" s="3" t="str">
        <f t="shared" si="3"/>
        <v/>
      </c>
      <c r="S54" s="3" t="str">
        <f t="shared" si="4"/>
        <v/>
      </c>
      <c r="T54" s="3" t="str">
        <f t="shared" si="5"/>
        <v/>
      </c>
      <c r="U54" s="3" t="str">
        <f t="shared" si="6"/>
        <v/>
      </c>
    </row>
    <row r="55" spans="1:21" x14ac:dyDescent="0.25">
      <c r="A55">
        <v>67</v>
      </c>
      <c r="B55" t="s">
        <v>9</v>
      </c>
      <c r="C55" t="s">
        <v>104</v>
      </c>
      <c r="D55" t="s">
        <v>105</v>
      </c>
      <c r="F55" s="8" t="s">
        <v>156</v>
      </c>
      <c r="I55" s="10" t="s">
        <v>13</v>
      </c>
      <c r="J55" s="10" t="s">
        <v>12</v>
      </c>
      <c r="M55" s="5" t="str">
        <f t="shared" si="7"/>
        <v/>
      </c>
      <c r="N55" s="5">
        <f t="shared" si="9"/>
        <v>2</v>
      </c>
      <c r="O55" s="5">
        <v>999</v>
      </c>
      <c r="P55" s="5" t="str">
        <f t="shared" si="8"/>
        <v>CON999GAR</v>
      </c>
      <c r="Q55" s="3" t="str">
        <f t="shared" si="2"/>
        <v/>
      </c>
      <c r="R55" s="3" t="str">
        <f t="shared" si="3"/>
        <v>Motion 4999</v>
      </c>
      <c r="S55" s="3" t="str">
        <f t="shared" si="4"/>
        <v>Motion 999</v>
      </c>
      <c r="T55" s="3" t="str">
        <f t="shared" si="5"/>
        <v/>
      </c>
      <c r="U55" s="3" t="str">
        <f t="shared" si="6"/>
        <v/>
      </c>
    </row>
    <row r="56" spans="1:21" x14ac:dyDescent="0.25">
      <c r="A56">
        <v>68</v>
      </c>
      <c r="B56" t="s">
        <v>9</v>
      </c>
      <c r="C56" t="s">
        <v>93</v>
      </c>
      <c r="D56" t="s">
        <v>106</v>
      </c>
      <c r="F56" s="8" t="s">
        <v>156</v>
      </c>
      <c r="I56" s="10" t="s">
        <v>13</v>
      </c>
      <c r="J56" s="10" t="s">
        <v>12</v>
      </c>
      <c r="M56" s="5" t="str">
        <f t="shared" si="7"/>
        <v/>
      </c>
      <c r="N56" s="5">
        <f t="shared" si="9"/>
        <v>2</v>
      </c>
      <c r="O56" s="5">
        <v>999</v>
      </c>
      <c r="P56" s="5" t="str">
        <f t="shared" si="8"/>
        <v>DIN999JAM</v>
      </c>
      <c r="Q56" s="3" t="str">
        <f t="shared" si="2"/>
        <v/>
      </c>
      <c r="R56" s="3" t="str">
        <f t="shared" si="3"/>
        <v>Motion 4999</v>
      </c>
      <c r="S56" s="3" t="str">
        <f t="shared" si="4"/>
        <v>Motion 999</v>
      </c>
      <c r="T56" s="3" t="str">
        <f t="shared" si="5"/>
        <v/>
      </c>
      <c r="U56" s="3" t="str">
        <f t="shared" si="6"/>
        <v/>
      </c>
    </row>
    <row r="57" spans="1:21" x14ac:dyDescent="0.25">
      <c r="A57">
        <v>69</v>
      </c>
      <c r="B57" t="s">
        <v>9</v>
      </c>
      <c r="C57" t="s">
        <v>107</v>
      </c>
      <c r="D57" t="s">
        <v>108</v>
      </c>
      <c r="F57" s="8" t="s">
        <v>156</v>
      </c>
      <c r="J57" s="10" t="s">
        <v>12</v>
      </c>
      <c r="M57" s="5" t="str">
        <f t="shared" si="7"/>
        <v/>
      </c>
      <c r="N57" s="5">
        <f t="shared" si="9"/>
        <v>1</v>
      </c>
      <c r="O57" s="5">
        <v>999</v>
      </c>
      <c r="P57" s="5" t="str">
        <f t="shared" si="8"/>
        <v>TRO999WIL</v>
      </c>
      <c r="Q57" s="3" t="str">
        <f t="shared" si="2"/>
        <v/>
      </c>
      <c r="R57" s="3" t="str">
        <f t="shared" si="3"/>
        <v/>
      </c>
      <c r="S57" s="3" t="str">
        <f t="shared" si="4"/>
        <v>Motion 999</v>
      </c>
      <c r="T57" s="3" t="str">
        <f t="shared" si="5"/>
        <v/>
      </c>
      <c r="U57" s="3" t="str">
        <f t="shared" si="6"/>
        <v/>
      </c>
    </row>
    <row r="58" spans="1:21" x14ac:dyDescent="0.25">
      <c r="A58">
        <v>70</v>
      </c>
      <c r="B58" t="s">
        <v>9</v>
      </c>
      <c r="C58" t="s">
        <v>109</v>
      </c>
      <c r="D58" t="s">
        <v>110</v>
      </c>
      <c r="F58" s="8" t="s">
        <v>158</v>
      </c>
      <c r="H58" s="10" t="s">
        <v>31</v>
      </c>
      <c r="K58" s="10" t="s">
        <v>21</v>
      </c>
      <c r="M58" s="5" t="str">
        <f t="shared" si="7"/>
        <v/>
      </c>
      <c r="N58" s="5">
        <f t="shared" si="9"/>
        <v>2</v>
      </c>
      <c r="O58" s="5">
        <v>999</v>
      </c>
      <c r="P58" s="5" t="str">
        <f t="shared" si="8"/>
        <v>WIL999DAV</v>
      </c>
      <c r="Q58" s="3" t="str">
        <f t="shared" si="2"/>
        <v>Motion 5999</v>
      </c>
      <c r="R58" s="3" t="str">
        <f t="shared" si="3"/>
        <v/>
      </c>
      <c r="S58" s="3" t="str">
        <f t="shared" si="4"/>
        <v/>
      </c>
      <c r="T58" s="3" t="str">
        <f t="shared" si="5"/>
        <v>Motion 2999</v>
      </c>
      <c r="U58" s="3" t="str">
        <f t="shared" si="6"/>
        <v/>
      </c>
    </row>
    <row r="59" spans="1:21" x14ac:dyDescent="0.25">
      <c r="A59">
        <v>71</v>
      </c>
      <c r="B59" t="s">
        <v>9</v>
      </c>
      <c r="C59" t="s">
        <v>39</v>
      </c>
      <c r="D59" t="s">
        <v>111</v>
      </c>
      <c r="F59" s="8" t="s">
        <v>156</v>
      </c>
      <c r="G59" s="8">
        <v>920</v>
      </c>
      <c r="J59" s="10" t="s">
        <v>12</v>
      </c>
      <c r="M59" s="5" t="str">
        <f t="shared" si="7"/>
        <v/>
      </c>
      <c r="N59" s="5">
        <f t="shared" si="9"/>
        <v>1</v>
      </c>
      <c r="O59" s="11">
        <f>G59</f>
        <v>920</v>
      </c>
      <c r="P59" s="5" t="str">
        <f t="shared" si="8"/>
        <v>PAL920MAR</v>
      </c>
      <c r="Q59" s="3" t="str">
        <f t="shared" si="2"/>
        <v/>
      </c>
      <c r="R59" s="3" t="str">
        <f t="shared" si="3"/>
        <v/>
      </c>
      <c r="S59" s="3" t="str">
        <f t="shared" si="4"/>
        <v>Motion 920</v>
      </c>
      <c r="T59" s="3" t="str">
        <f t="shared" si="5"/>
        <v/>
      </c>
      <c r="U59" s="3" t="str">
        <f t="shared" si="6"/>
        <v/>
      </c>
    </row>
    <row r="60" spans="1:21" x14ac:dyDescent="0.25">
      <c r="A60">
        <v>72</v>
      </c>
      <c r="B60" t="s">
        <v>9</v>
      </c>
      <c r="C60" t="s">
        <v>14</v>
      </c>
      <c r="D60" t="s">
        <v>112</v>
      </c>
      <c r="F60" s="8" t="s">
        <v>158</v>
      </c>
      <c r="H60" s="10" t="s">
        <v>31</v>
      </c>
      <c r="M60" s="5" t="str">
        <f t="shared" si="7"/>
        <v/>
      </c>
      <c r="N60" s="5">
        <f t="shared" si="9"/>
        <v>1</v>
      </c>
      <c r="O60" s="5">
        <v>999</v>
      </c>
      <c r="P60" s="5" t="str">
        <f t="shared" si="8"/>
        <v>SAN999SIM</v>
      </c>
      <c r="Q60" s="3" t="str">
        <f t="shared" si="2"/>
        <v>Motion 999</v>
      </c>
      <c r="R60" s="3" t="str">
        <f t="shared" si="3"/>
        <v/>
      </c>
      <c r="S60" s="3" t="str">
        <f t="shared" si="4"/>
        <v/>
      </c>
      <c r="T60" s="3" t="str">
        <f t="shared" si="5"/>
        <v/>
      </c>
      <c r="U60" s="3" t="str">
        <f t="shared" si="6"/>
        <v/>
      </c>
    </row>
    <row r="61" spans="1:21" x14ac:dyDescent="0.25">
      <c r="A61">
        <v>73</v>
      </c>
      <c r="B61" t="s">
        <v>9</v>
      </c>
      <c r="C61" t="s">
        <v>39</v>
      </c>
      <c r="D61" t="s">
        <v>113</v>
      </c>
      <c r="F61" s="8" t="s">
        <v>158</v>
      </c>
      <c r="I61" s="10" t="s">
        <v>13</v>
      </c>
      <c r="J61" s="10" t="s">
        <v>12</v>
      </c>
      <c r="M61" s="5" t="str">
        <f t="shared" si="7"/>
        <v/>
      </c>
      <c r="N61" s="5">
        <f t="shared" si="9"/>
        <v>2</v>
      </c>
      <c r="O61" s="5">
        <v>999</v>
      </c>
      <c r="P61" s="5" t="str">
        <f t="shared" si="8"/>
        <v>NEW999MAR</v>
      </c>
      <c r="Q61" s="3" t="str">
        <f t="shared" si="2"/>
        <v/>
      </c>
      <c r="R61" s="3" t="str">
        <f t="shared" si="3"/>
        <v>Motion 4999</v>
      </c>
      <c r="S61" s="3" t="str">
        <f t="shared" si="4"/>
        <v>Motion 999</v>
      </c>
      <c r="T61" s="3" t="str">
        <f t="shared" si="5"/>
        <v/>
      </c>
      <c r="U61" s="3" t="str">
        <f t="shared" si="6"/>
        <v/>
      </c>
    </row>
    <row r="62" spans="1:21" x14ac:dyDescent="0.25">
      <c r="A62">
        <v>75</v>
      </c>
      <c r="B62" t="s">
        <v>9</v>
      </c>
      <c r="C62" t="s">
        <v>114</v>
      </c>
      <c r="D62" t="s">
        <v>115</v>
      </c>
      <c r="F62" s="8" t="s">
        <v>156</v>
      </c>
      <c r="J62" s="10" t="s">
        <v>12</v>
      </c>
      <c r="M62" s="6">
        <f t="shared" si="7"/>
        <v>2</v>
      </c>
      <c r="N62" s="5">
        <f t="shared" si="9"/>
        <v>1</v>
      </c>
      <c r="O62" s="5">
        <v>999</v>
      </c>
      <c r="P62" s="5" t="str">
        <f t="shared" si="8"/>
        <v>MAR999EDD</v>
      </c>
      <c r="Q62" s="3" t="str">
        <f t="shared" si="2"/>
        <v/>
      </c>
      <c r="R62" s="3" t="str">
        <f t="shared" si="3"/>
        <v/>
      </c>
      <c r="S62" s="3" t="str">
        <f t="shared" si="4"/>
        <v>Motion 999</v>
      </c>
      <c r="T62" s="3" t="str">
        <f t="shared" si="5"/>
        <v/>
      </c>
      <c r="U62" s="3" t="str">
        <f t="shared" si="6"/>
        <v/>
      </c>
    </row>
    <row r="63" spans="1:21" x14ac:dyDescent="0.25">
      <c r="A63">
        <v>76</v>
      </c>
      <c r="B63" t="s">
        <v>9</v>
      </c>
      <c r="C63" t="s">
        <v>116</v>
      </c>
      <c r="D63" t="s">
        <v>117</v>
      </c>
      <c r="F63" s="8" t="s">
        <v>156</v>
      </c>
      <c r="J63" s="10" t="s">
        <v>12</v>
      </c>
      <c r="M63" s="5" t="str">
        <f t="shared" si="7"/>
        <v/>
      </c>
      <c r="N63" s="5">
        <f t="shared" si="9"/>
        <v>1</v>
      </c>
      <c r="O63" s="5">
        <v>999</v>
      </c>
      <c r="P63" s="5" t="str">
        <f t="shared" si="8"/>
        <v>STU999AND</v>
      </c>
      <c r="Q63" s="3" t="str">
        <f t="shared" si="2"/>
        <v/>
      </c>
      <c r="R63" s="3" t="str">
        <f t="shared" si="3"/>
        <v/>
      </c>
      <c r="S63" s="3" t="str">
        <f t="shared" si="4"/>
        <v>Motion 999</v>
      </c>
      <c r="T63" s="3" t="str">
        <f t="shared" si="5"/>
        <v/>
      </c>
      <c r="U63" s="3" t="str">
        <f t="shared" si="6"/>
        <v/>
      </c>
    </row>
    <row r="64" spans="1:21" x14ac:dyDescent="0.25">
      <c r="A64">
        <v>77</v>
      </c>
      <c r="B64" t="s">
        <v>9</v>
      </c>
      <c r="C64" t="s">
        <v>93</v>
      </c>
      <c r="D64" t="s">
        <v>118</v>
      </c>
      <c r="K64" s="10" t="s">
        <v>21</v>
      </c>
      <c r="M64" s="5" t="str">
        <f t="shared" si="7"/>
        <v/>
      </c>
      <c r="N64" s="5">
        <f t="shared" si="9"/>
        <v>1</v>
      </c>
      <c r="O64" s="5">
        <v>999</v>
      </c>
      <c r="P64" s="5" t="str">
        <f t="shared" si="8"/>
        <v>LON999JAM</v>
      </c>
      <c r="Q64" s="3" t="str">
        <f t="shared" si="2"/>
        <v/>
      </c>
      <c r="R64" s="3" t="str">
        <f t="shared" si="3"/>
        <v/>
      </c>
      <c r="S64" s="3" t="str">
        <f t="shared" si="4"/>
        <v/>
      </c>
      <c r="T64" s="3" t="str">
        <f t="shared" si="5"/>
        <v>Motion 999</v>
      </c>
      <c r="U64" s="3" t="str">
        <f t="shared" si="6"/>
        <v/>
      </c>
    </row>
    <row r="65" spans="1:21" x14ac:dyDescent="0.25">
      <c r="A65">
        <v>78</v>
      </c>
      <c r="B65" t="s">
        <v>9</v>
      </c>
      <c r="C65" t="s">
        <v>91</v>
      </c>
      <c r="D65" t="s">
        <v>78</v>
      </c>
      <c r="F65" s="8" t="s">
        <v>156</v>
      </c>
      <c r="J65" s="10" t="s">
        <v>12</v>
      </c>
      <c r="M65" s="5" t="str">
        <f t="shared" si="7"/>
        <v/>
      </c>
      <c r="N65" s="5">
        <f t="shared" si="9"/>
        <v>1</v>
      </c>
      <c r="O65" s="5">
        <v>999</v>
      </c>
      <c r="P65" s="5" t="str">
        <f t="shared" si="8"/>
        <v>THO999RUS</v>
      </c>
      <c r="Q65" s="3" t="str">
        <f t="shared" si="2"/>
        <v/>
      </c>
      <c r="R65" s="3" t="str">
        <f t="shared" si="3"/>
        <v/>
      </c>
      <c r="S65" s="3" t="str">
        <f t="shared" si="4"/>
        <v>Motion 999</v>
      </c>
      <c r="T65" s="3" t="str">
        <f t="shared" si="5"/>
        <v/>
      </c>
      <c r="U65" s="3" t="str">
        <f t="shared" si="6"/>
        <v/>
      </c>
    </row>
    <row r="66" spans="1:21" x14ac:dyDescent="0.25">
      <c r="A66">
        <v>79</v>
      </c>
      <c r="B66" t="s">
        <v>9</v>
      </c>
      <c r="C66" t="s">
        <v>119</v>
      </c>
      <c r="D66" t="s">
        <v>120</v>
      </c>
      <c r="F66" s="8" t="s">
        <v>156</v>
      </c>
      <c r="J66" s="10" t="s">
        <v>12</v>
      </c>
      <c r="M66" s="5" t="str">
        <f t="shared" si="7"/>
        <v/>
      </c>
      <c r="N66" s="5">
        <f t="shared" ref="N66:N86" si="10">COUNTA(H66:L66)</f>
        <v>1</v>
      </c>
      <c r="O66" s="5">
        <v>999</v>
      </c>
      <c r="P66" s="5" t="str">
        <f t="shared" si="8"/>
        <v>KIR999JON</v>
      </c>
      <c r="Q66" s="3" t="str">
        <f t="shared" si="2"/>
        <v/>
      </c>
      <c r="R66" s="3" t="str">
        <f t="shared" si="3"/>
        <v/>
      </c>
      <c r="S66" s="3" t="str">
        <f t="shared" si="4"/>
        <v>Motion 999</v>
      </c>
      <c r="T66" s="3" t="str">
        <f t="shared" si="5"/>
        <v/>
      </c>
      <c r="U66" s="3" t="str">
        <f t="shared" si="6"/>
        <v/>
      </c>
    </row>
    <row r="67" spans="1:21" x14ac:dyDescent="0.25">
      <c r="A67">
        <v>80</v>
      </c>
      <c r="B67" t="s">
        <v>9</v>
      </c>
      <c r="C67" t="s">
        <v>121</v>
      </c>
      <c r="D67" t="s">
        <v>122</v>
      </c>
      <c r="F67" s="8" t="s">
        <v>156</v>
      </c>
      <c r="J67" s="10" t="s">
        <v>12</v>
      </c>
      <c r="M67" s="5" t="str">
        <f t="shared" si="7"/>
        <v/>
      </c>
      <c r="N67" s="5">
        <f t="shared" si="10"/>
        <v>1</v>
      </c>
      <c r="O67" s="5">
        <v>999</v>
      </c>
      <c r="P67" s="5" t="str">
        <f t="shared" si="8"/>
        <v>CRO999JIM</v>
      </c>
      <c r="Q67" s="3" t="str">
        <f t="shared" ref="Q67:Q86" si="11">IF(H67&lt;&gt;"", _xlfn.CONCAT("Motion ",IF($N67&gt;1,"5",""),$O67), "")</f>
        <v/>
      </c>
      <c r="R67" s="3" t="str">
        <f t="shared" ref="R67:R86" si="12">IF(I67&lt;&gt;"", _xlfn.CONCAT("Motion ",IF($N67&gt;1,"4",""),$O67), "")</f>
        <v/>
      </c>
      <c r="S67" s="3" t="str">
        <f t="shared" ref="S67:S86" si="13">IF(J67&lt;&gt;"", _xlfn.CONCAT("Motion ",IF(AND($N67&gt;1,$I67=""),"4",""),$O67), "")</f>
        <v>Motion 999</v>
      </c>
      <c r="T67" s="3" t="str">
        <f t="shared" ref="T67:T86" si="14">IF(K67&lt;&gt;"", _xlfn.CONCAT("Motion ",IF($N67&gt;1,"2",""),$O67), "")</f>
        <v/>
      </c>
      <c r="U67" s="3" t="str">
        <f t="shared" ref="U67:U86" si="15">IF(L67&lt;&gt;"", _xlfn.CONCAT("Motion ",IF($N67&gt;1,"1",""),$O67), "")</f>
        <v/>
      </c>
    </row>
    <row r="68" spans="1:21" x14ac:dyDescent="0.25">
      <c r="A68">
        <v>81</v>
      </c>
      <c r="B68" t="s">
        <v>9</v>
      </c>
      <c r="C68" t="s">
        <v>11</v>
      </c>
      <c r="D68" t="s">
        <v>122</v>
      </c>
      <c r="E68" s="8" t="s">
        <v>156</v>
      </c>
      <c r="F68" s="8" t="s">
        <v>156</v>
      </c>
      <c r="J68" s="10" t="s">
        <v>12</v>
      </c>
      <c r="M68" s="5" t="str">
        <f t="shared" ref="M68:M86" si="16">IF(A68-A67&lt;&gt;1,A68-A67,"")</f>
        <v/>
      </c>
      <c r="N68" s="5">
        <f t="shared" si="10"/>
        <v>1</v>
      </c>
      <c r="O68" s="5">
        <v>999</v>
      </c>
      <c r="P68" s="5" t="str">
        <f t="shared" si="8"/>
        <v>CRO999GEO</v>
      </c>
      <c r="Q68" s="3" t="str">
        <f t="shared" si="11"/>
        <v/>
      </c>
      <c r="R68" s="3" t="str">
        <f t="shared" si="12"/>
        <v/>
      </c>
      <c r="S68" s="3" t="str">
        <f t="shared" si="13"/>
        <v>Motion 999</v>
      </c>
      <c r="T68" s="3" t="str">
        <f t="shared" si="14"/>
        <v/>
      </c>
      <c r="U68" s="3" t="str">
        <f t="shared" si="15"/>
        <v/>
      </c>
    </row>
    <row r="69" spans="1:21" x14ac:dyDescent="0.25">
      <c r="A69">
        <v>82</v>
      </c>
      <c r="B69" t="s">
        <v>9</v>
      </c>
      <c r="C69" t="s">
        <v>123</v>
      </c>
      <c r="D69" t="s">
        <v>122</v>
      </c>
      <c r="E69" s="8" t="s">
        <v>156</v>
      </c>
      <c r="F69" s="8" t="s">
        <v>156</v>
      </c>
      <c r="J69" s="10" t="s">
        <v>12</v>
      </c>
      <c r="M69" s="5" t="str">
        <f t="shared" si="16"/>
        <v/>
      </c>
      <c r="N69" s="5">
        <f t="shared" si="10"/>
        <v>1</v>
      </c>
      <c r="O69" s="5">
        <v>999</v>
      </c>
      <c r="P69" s="5" t="str">
        <f t="shared" si="8"/>
        <v>CRO999JAC</v>
      </c>
      <c r="Q69" s="3" t="str">
        <f t="shared" si="11"/>
        <v/>
      </c>
      <c r="R69" s="3" t="str">
        <f t="shared" si="12"/>
        <v/>
      </c>
      <c r="S69" s="3" t="str">
        <f t="shared" si="13"/>
        <v>Motion 999</v>
      </c>
      <c r="T69" s="3" t="str">
        <f t="shared" si="14"/>
        <v/>
      </c>
      <c r="U69" s="3" t="str">
        <f t="shared" si="15"/>
        <v/>
      </c>
    </row>
    <row r="70" spans="1:21" x14ac:dyDescent="0.25">
      <c r="A70">
        <v>83</v>
      </c>
      <c r="B70" t="s">
        <v>9</v>
      </c>
      <c r="C70" t="s">
        <v>51</v>
      </c>
      <c r="D70" t="s">
        <v>124</v>
      </c>
      <c r="F70" s="8" t="s">
        <v>156</v>
      </c>
      <c r="I70" s="10" t="s">
        <v>13</v>
      </c>
      <c r="J70" s="10" t="s">
        <v>12</v>
      </c>
      <c r="M70" s="5" t="str">
        <f t="shared" si="16"/>
        <v/>
      </c>
      <c r="N70" s="5">
        <f t="shared" si="10"/>
        <v>2</v>
      </c>
      <c r="O70" s="5">
        <v>999</v>
      </c>
      <c r="P70" s="5" t="str">
        <f t="shared" si="8"/>
        <v>NOR999SCO</v>
      </c>
      <c r="Q70" s="3" t="str">
        <f t="shared" si="11"/>
        <v/>
      </c>
      <c r="R70" s="3" t="str">
        <f t="shared" si="12"/>
        <v>Motion 4999</v>
      </c>
      <c r="S70" s="3" t="str">
        <f t="shared" si="13"/>
        <v>Motion 999</v>
      </c>
      <c r="T70" s="3" t="str">
        <f t="shared" si="14"/>
        <v/>
      </c>
      <c r="U70" s="3" t="str">
        <f t="shared" si="15"/>
        <v/>
      </c>
    </row>
    <row r="71" spans="1:21" x14ac:dyDescent="0.25">
      <c r="A71">
        <v>84</v>
      </c>
      <c r="B71" t="s">
        <v>9</v>
      </c>
      <c r="C71" t="s">
        <v>153</v>
      </c>
      <c r="D71" t="s">
        <v>125</v>
      </c>
      <c r="K71" s="10" t="s">
        <v>21</v>
      </c>
      <c r="M71" s="5" t="str">
        <f t="shared" si="16"/>
        <v/>
      </c>
      <c r="N71" s="5">
        <f t="shared" si="10"/>
        <v>1</v>
      </c>
      <c r="O71" s="5">
        <v>999</v>
      </c>
      <c r="P71" s="5" t="str">
        <f t="shared" si="8"/>
        <v>CAM999SEB</v>
      </c>
      <c r="Q71" s="3" t="str">
        <f t="shared" si="11"/>
        <v/>
      </c>
      <c r="R71" s="3" t="str">
        <f t="shared" si="12"/>
        <v/>
      </c>
      <c r="S71" s="3" t="str">
        <f t="shared" si="13"/>
        <v/>
      </c>
      <c r="T71" s="3" t="str">
        <f t="shared" si="14"/>
        <v>Motion 999</v>
      </c>
      <c r="U71" s="3" t="str">
        <f t="shared" si="15"/>
        <v/>
      </c>
    </row>
    <row r="72" spans="1:21" x14ac:dyDescent="0.25">
      <c r="A72">
        <v>85</v>
      </c>
      <c r="B72" t="s">
        <v>9</v>
      </c>
      <c r="C72" t="s">
        <v>84</v>
      </c>
      <c r="D72" t="s">
        <v>126</v>
      </c>
      <c r="F72" s="8" t="s">
        <v>158</v>
      </c>
      <c r="J72" s="10" t="s">
        <v>12</v>
      </c>
      <c r="M72" s="5" t="str">
        <f t="shared" si="16"/>
        <v/>
      </c>
      <c r="N72" s="5">
        <f t="shared" si="10"/>
        <v>1</v>
      </c>
      <c r="O72" s="5">
        <v>999</v>
      </c>
      <c r="P72" s="5" t="str">
        <f t="shared" ref="P72:P86" si="17">UPPER(_xlfn.CONCAT(LEFT(D72,3),O72,LEFT(C72,3)))</f>
        <v>HIL999IAN</v>
      </c>
      <c r="Q72" s="3" t="str">
        <f t="shared" si="11"/>
        <v/>
      </c>
      <c r="R72" s="3" t="str">
        <f t="shared" si="12"/>
        <v/>
      </c>
      <c r="S72" s="3" t="str">
        <f t="shared" si="13"/>
        <v>Motion 999</v>
      </c>
      <c r="T72" s="3" t="str">
        <f t="shared" si="14"/>
        <v/>
      </c>
      <c r="U72" s="3" t="str">
        <f t="shared" si="15"/>
        <v/>
      </c>
    </row>
    <row r="73" spans="1:21" x14ac:dyDescent="0.25">
      <c r="A73">
        <v>86</v>
      </c>
      <c r="B73" t="s">
        <v>9</v>
      </c>
      <c r="C73" t="s">
        <v>58</v>
      </c>
      <c r="D73" t="s">
        <v>127</v>
      </c>
      <c r="F73" s="8" t="s">
        <v>156</v>
      </c>
      <c r="I73" s="10" t="s">
        <v>13</v>
      </c>
      <c r="J73" s="10" t="s">
        <v>12</v>
      </c>
      <c r="M73" s="5" t="str">
        <f t="shared" si="16"/>
        <v/>
      </c>
      <c r="N73" s="5">
        <f t="shared" si="10"/>
        <v>2</v>
      </c>
      <c r="O73" s="5">
        <v>999</v>
      </c>
      <c r="P73" s="5" t="str">
        <f t="shared" si="17"/>
        <v>TWI999AND</v>
      </c>
      <c r="Q73" s="3" t="str">
        <f t="shared" si="11"/>
        <v/>
      </c>
      <c r="R73" s="3" t="str">
        <f t="shared" si="12"/>
        <v>Motion 4999</v>
      </c>
      <c r="S73" s="3" t="str">
        <f t="shared" si="13"/>
        <v>Motion 999</v>
      </c>
      <c r="T73" s="3" t="str">
        <f t="shared" si="14"/>
        <v/>
      </c>
      <c r="U73" s="3" t="str">
        <f t="shared" si="15"/>
        <v/>
      </c>
    </row>
    <row r="74" spans="1:21" x14ac:dyDescent="0.25">
      <c r="A74">
        <v>87</v>
      </c>
      <c r="B74" t="s">
        <v>9</v>
      </c>
      <c r="C74" t="s">
        <v>128</v>
      </c>
      <c r="D74" t="s">
        <v>129</v>
      </c>
      <c r="F74" s="8" t="s">
        <v>158</v>
      </c>
      <c r="J74" s="10" t="s">
        <v>12</v>
      </c>
      <c r="M74" s="5" t="str">
        <f t="shared" si="16"/>
        <v/>
      </c>
      <c r="N74" s="5">
        <f t="shared" si="10"/>
        <v>1</v>
      </c>
      <c r="O74" s="5">
        <v>999</v>
      </c>
      <c r="P74" s="5" t="str">
        <f t="shared" si="17"/>
        <v>HUM999TIM</v>
      </c>
      <c r="Q74" s="3" t="str">
        <f t="shared" si="11"/>
        <v/>
      </c>
      <c r="R74" s="3" t="str">
        <f t="shared" si="12"/>
        <v/>
      </c>
      <c r="S74" s="3" t="str">
        <f t="shared" si="13"/>
        <v>Motion 999</v>
      </c>
      <c r="T74" s="3" t="str">
        <f t="shared" si="14"/>
        <v/>
      </c>
      <c r="U74" s="3" t="str">
        <f t="shared" si="15"/>
        <v/>
      </c>
    </row>
    <row r="75" spans="1:21" x14ac:dyDescent="0.25">
      <c r="A75">
        <v>88</v>
      </c>
      <c r="B75" t="s">
        <v>9</v>
      </c>
      <c r="C75" t="s">
        <v>104</v>
      </c>
      <c r="D75" t="s">
        <v>130</v>
      </c>
      <c r="F75" s="8" t="s">
        <v>156</v>
      </c>
      <c r="G75" s="8">
        <v>1002</v>
      </c>
      <c r="J75" s="10" t="s">
        <v>12</v>
      </c>
      <c r="M75" s="5" t="str">
        <f t="shared" si="16"/>
        <v/>
      </c>
      <c r="N75" s="5">
        <f t="shared" si="10"/>
        <v>1</v>
      </c>
      <c r="O75" s="11">
        <f>G75</f>
        <v>1002</v>
      </c>
      <c r="P75" s="5" t="str">
        <f t="shared" si="17"/>
        <v>GOO1002GAR</v>
      </c>
      <c r="Q75" s="3" t="str">
        <f t="shared" si="11"/>
        <v/>
      </c>
      <c r="R75" s="3" t="str">
        <f t="shared" si="12"/>
        <v/>
      </c>
      <c r="S75" s="3" t="str">
        <f t="shared" si="13"/>
        <v>Motion 1002</v>
      </c>
      <c r="T75" s="3" t="str">
        <f t="shared" si="14"/>
        <v/>
      </c>
      <c r="U75" s="3" t="str">
        <f t="shared" si="15"/>
        <v/>
      </c>
    </row>
    <row r="76" spans="1:21" x14ac:dyDescent="0.25">
      <c r="A76">
        <v>89</v>
      </c>
      <c r="B76" t="s">
        <v>9</v>
      </c>
      <c r="C76" t="s">
        <v>131</v>
      </c>
      <c r="D76" t="s">
        <v>132</v>
      </c>
      <c r="F76" s="8" t="s">
        <v>156</v>
      </c>
      <c r="J76" s="10" t="s">
        <v>12</v>
      </c>
      <c r="M76" s="5" t="str">
        <f t="shared" si="16"/>
        <v/>
      </c>
      <c r="N76" s="5">
        <f t="shared" si="10"/>
        <v>1</v>
      </c>
      <c r="O76" s="5">
        <v>999</v>
      </c>
      <c r="P76" s="5" t="str">
        <f t="shared" si="17"/>
        <v>WHA999TRE</v>
      </c>
      <c r="Q76" s="3" t="str">
        <f t="shared" si="11"/>
        <v/>
      </c>
      <c r="R76" s="3" t="str">
        <f t="shared" si="12"/>
        <v/>
      </c>
      <c r="S76" s="3" t="str">
        <f t="shared" si="13"/>
        <v>Motion 999</v>
      </c>
      <c r="T76" s="3" t="str">
        <f t="shared" si="14"/>
        <v/>
      </c>
      <c r="U76" s="3" t="str">
        <f t="shared" si="15"/>
        <v/>
      </c>
    </row>
    <row r="77" spans="1:21" x14ac:dyDescent="0.25">
      <c r="A77">
        <v>90</v>
      </c>
      <c r="B77" t="s">
        <v>9</v>
      </c>
      <c r="C77" t="s">
        <v>96</v>
      </c>
      <c r="D77" t="s">
        <v>133</v>
      </c>
      <c r="E77" s="8" t="s">
        <v>156</v>
      </c>
      <c r="F77" s="8" t="s">
        <v>158</v>
      </c>
      <c r="J77" s="10" t="s">
        <v>12</v>
      </c>
      <c r="M77" s="5" t="str">
        <f t="shared" si="16"/>
        <v/>
      </c>
      <c r="N77" s="5">
        <f t="shared" si="10"/>
        <v>1</v>
      </c>
      <c r="O77" s="5">
        <v>999</v>
      </c>
      <c r="P77" s="5" t="str">
        <f t="shared" si="17"/>
        <v>KIE999OLI</v>
      </c>
      <c r="Q77" s="3" t="str">
        <f t="shared" si="11"/>
        <v/>
      </c>
      <c r="R77" s="3" t="str">
        <f t="shared" si="12"/>
        <v/>
      </c>
      <c r="S77" s="3" t="str">
        <f t="shared" si="13"/>
        <v>Motion 999</v>
      </c>
      <c r="T77" s="3" t="str">
        <f t="shared" si="14"/>
        <v/>
      </c>
      <c r="U77" s="3" t="str">
        <f t="shared" si="15"/>
        <v/>
      </c>
    </row>
    <row r="78" spans="1:21" x14ac:dyDescent="0.25">
      <c r="A78">
        <v>91</v>
      </c>
      <c r="B78" t="s">
        <v>9</v>
      </c>
      <c r="C78" t="s">
        <v>134</v>
      </c>
      <c r="D78" t="s">
        <v>135</v>
      </c>
      <c r="F78" s="8" t="s">
        <v>156</v>
      </c>
      <c r="G78" s="8">
        <v>676</v>
      </c>
      <c r="J78" s="10" t="s">
        <v>12</v>
      </c>
      <c r="M78" s="5" t="str">
        <f t="shared" si="16"/>
        <v/>
      </c>
      <c r="N78" s="5">
        <f t="shared" si="10"/>
        <v>1</v>
      </c>
      <c r="O78" s="11">
        <f>G78</f>
        <v>676</v>
      </c>
      <c r="P78" s="5" t="str">
        <f t="shared" si="17"/>
        <v>NEA676IAI</v>
      </c>
      <c r="Q78" s="3" t="str">
        <f t="shared" si="11"/>
        <v/>
      </c>
      <c r="R78" s="3" t="str">
        <f t="shared" si="12"/>
        <v/>
      </c>
      <c r="S78" s="3" t="str">
        <f t="shared" si="13"/>
        <v>Motion 676</v>
      </c>
      <c r="T78" s="3" t="str">
        <f t="shared" si="14"/>
        <v/>
      </c>
      <c r="U78" s="3" t="str">
        <f t="shared" si="15"/>
        <v/>
      </c>
    </row>
    <row r="79" spans="1:21" x14ac:dyDescent="0.25">
      <c r="A79">
        <v>92</v>
      </c>
      <c r="B79" t="s">
        <v>9</v>
      </c>
      <c r="C79" t="s">
        <v>136</v>
      </c>
      <c r="D79" t="s">
        <v>137</v>
      </c>
      <c r="K79" s="10" t="s">
        <v>21</v>
      </c>
      <c r="M79" s="5" t="str">
        <f t="shared" si="16"/>
        <v/>
      </c>
      <c r="N79" s="5">
        <f t="shared" si="10"/>
        <v>1</v>
      </c>
      <c r="O79" s="5">
        <v>999</v>
      </c>
      <c r="P79" s="5" t="str">
        <f t="shared" si="17"/>
        <v>CAR999MAR</v>
      </c>
      <c r="Q79" s="3" t="str">
        <f t="shared" si="11"/>
        <v/>
      </c>
      <c r="R79" s="3" t="str">
        <f t="shared" si="12"/>
        <v/>
      </c>
      <c r="S79" s="3" t="str">
        <f t="shared" si="13"/>
        <v/>
      </c>
      <c r="T79" s="3" t="str">
        <f t="shared" si="14"/>
        <v>Motion 999</v>
      </c>
      <c r="U79" s="3" t="str">
        <f t="shared" si="15"/>
        <v/>
      </c>
    </row>
    <row r="80" spans="1:21" x14ac:dyDescent="0.25">
      <c r="A80">
        <v>93</v>
      </c>
      <c r="B80" t="s">
        <v>9</v>
      </c>
      <c r="C80" t="s">
        <v>138</v>
      </c>
      <c r="D80" t="s">
        <v>139</v>
      </c>
      <c r="F80" s="8" t="s">
        <v>156</v>
      </c>
      <c r="G80" s="8">
        <v>704</v>
      </c>
      <c r="J80" s="10" t="s">
        <v>12</v>
      </c>
      <c r="M80" s="5" t="str">
        <f t="shared" si="16"/>
        <v/>
      </c>
      <c r="N80" s="5">
        <f t="shared" si="10"/>
        <v>1</v>
      </c>
      <c r="O80" s="11">
        <f>G80</f>
        <v>704</v>
      </c>
      <c r="P80" s="5" t="str">
        <f t="shared" si="17"/>
        <v>VER704SHA</v>
      </c>
      <c r="Q80" s="3" t="str">
        <f t="shared" si="11"/>
        <v/>
      </c>
      <c r="R80" s="3" t="str">
        <f t="shared" si="12"/>
        <v/>
      </c>
      <c r="S80" s="3" t="str">
        <f t="shared" si="13"/>
        <v>Motion 704</v>
      </c>
      <c r="T80" s="3" t="str">
        <f t="shared" si="14"/>
        <v/>
      </c>
      <c r="U80" s="3" t="str">
        <f t="shared" si="15"/>
        <v/>
      </c>
    </row>
    <row r="81" spans="1:21" x14ac:dyDescent="0.25">
      <c r="A81">
        <v>94</v>
      </c>
      <c r="B81" t="s">
        <v>9</v>
      </c>
      <c r="C81" t="s">
        <v>76</v>
      </c>
      <c r="D81" t="s">
        <v>140</v>
      </c>
      <c r="F81" s="8" t="s">
        <v>158</v>
      </c>
      <c r="J81" s="10" t="s">
        <v>12</v>
      </c>
      <c r="M81" s="5" t="str">
        <f t="shared" si="16"/>
        <v/>
      </c>
      <c r="N81" s="5">
        <f t="shared" si="10"/>
        <v>1</v>
      </c>
      <c r="O81" s="5">
        <v>999</v>
      </c>
      <c r="P81" s="5" t="str">
        <f t="shared" si="17"/>
        <v>BRA999PAU</v>
      </c>
      <c r="Q81" s="3" t="str">
        <f t="shared" si="11"/>
        <v/>
      </c>
      <c r="R81" s="3" t="str">
        <f t="shared" si="12"/>
        <v/>
      </c>
      <c r="S81" s="3" t="str">
        <f t="shared" si="13"/>
        <v>Motion 999</v>
      </c>
      <c r="T81" s="3" t="str">
        <f t="shared" si="14"/>
        <v/>
      </c>
      <c r="U81" s="3" t="str">
        <f t="shared" si="15"/>
        <v/>
      </c>
    </row>
    <row r="82" spans="1:21" x14ac:dyDescent="0.25">
      <c r="A82">
        <v>96</v>
      </c>
      <c r="B82" t="s">
        <v>9</v>
      </c>
      <c r="C82" t="s">
        <v>141</v>
      </c>
      <c r="D82" t="s">
        <v>142</v>
      </c>
      <c r="F82" s="8" t="s">
        <v>158</v>
      </c>
      <c r="I82" s="10" t="s">
        <v>13</v>
      </c>
      <c r="J82" s="10" t="s">
        <v>12</v>
      </c>
      <c r="M82" s="6">
        <f t="shared" si="16"/>
        <v>2</v>
      </c>
      <c r="N82" s="5">
        <f t="shared" si="10"/>
        <v>2</v>
      </c>
      <c r="O82" s="5">
        <v>999</v>
      </c>
      <c r="P82" s="5" t="str">
        <f t="shared" si="17"/>
        <v>CRO999ALL</v>
      </c>
      <c r="Q82" s="3" t="str">
        <f t="shared" si="11"/>
        <v/>
      </c>
      <c r="R82" s="3" t="str">
        <f t="shared" si="12"/>
        <v>Motion 4999</v>
      </c>
      <c r="S82" s="3" t="str">
        <f t="shared" si="13"/>
        <v>Motion 999</v>
      </c>
      <c r="T82" s="3" t="str">
        <f t="shared" si="14"/>
        <v/>
      </c>
      <c r="U82" s="3" t="str">
        <f t="shared" si="15"/>
        <v/>
      </c>
    </row>
    <row r="83" spans="1:21" x14ac:dyDescent="0.25">
      <c r="A83">
        <v>97</v>
      </c>
      <c r="B83" t="s">
        <v>9</v>
      </c>
      <c r="C83" t="s">
        <v>143</v>
      </c>
      <c r="D83" t="s">
        <v>144</v>
      </c>
      <c r="E83" s="8" t="s">
        <v>156</v>
      </c>
      <c r="F83" s="8" t="s">
        <v>156</v>
      </c>
      <c r="H83" s="10" t="s">
        <v>31</v>
      </c>
      <c r="M83" s="5" t="str">
        <f t="shared" si="16"/>
        <v/>
      </c>
      <c r="N83" s="5">
        <f t="shared" si="10"/>
        <v>1</v>
      </c>
      <c r="O83" s="5">
        <v>999</v>
      </c>
      <c r="P83" s="5" t="str">
        <f t="shared" si="17"/>
        <v>MIL999JAY</v>
      </c>
      <c r="Q83" s="3" t="str">
        <f t="shared" si="11"/>
        <v>Motion 999</v>
      </c>
      <c r="R83" s="3" t="str">
        <f t="shared" si="12"/>
        <v/>
      </c>
      <c r="S83" s="3" t="str">
        <f t="shared" si="13"/>
        <v/>
      </c>
      <c r="T83" s="3" t="str">
        <f t="shared" si="14"/>
        <v/>
      </c>
      <c r="U83" s="3" t="str">
        <f t="shared" si="15"/>
        <v/>
      </c>
    </row>
    <row r="84" spans="1:21" x14ac:dyDescent="0.25">
      <c r="A84">
        <v>98</v>
      </c>
      <c r="B84" t="s">
        <v>9</v>
      </c>
      <c r="C84" t="s">
        <v>90</v>
      </c>
      <c r="D84" t="s">
        <v>145</v>
      </c>
      <c r="F84" s="8" t="s">
        <v>158</v>
      </c>
      <c r="J84" s="10" t="s">
        <v>12</v>
      </c>
      <c r="M84" s="5" t="str">
        <f t="shared" si="16"/>
        <v/>
      </c>
      <c r="N84" s="5">
        <f t="shared" si="10"/>
        <v>1</v>
      </c>
      <c r="O84" s="5">
        <v>999</v>
      </c>
      <c r="P84" s="5" t="str">
        <f t="shared" si="17"/>
        <v>PEN999ROB</v>
      </c>
      <c r="Q84" s="3" t="str">
        <f t="shared" si="11"/>
        <v/>
      </c>
      <c r="R84" s="3" t="str">
        <f t="shared" si="12"/>
        <v/>
      </c>
      <c r="S84" s="3" t="str">
        <f t="shared" si="13"/>
        <v>Motion 999</v>
      </c>
      <c r="T84" s="3" t="str">
        <f t="shared" si="14"/>
        <v/>
      </c>
      <c r="U84" s="3" t="str">
        <f t="shared" si="15"/>
        <v/>
      </c>
    </row>
    <row r="85" spans="1:21" x14ac:dyDescent="0.25">
      <c r="A85">
        <v>99</v>
      </c>
      <c r="B85" t="s">
        <v>9</v>
      </c>
      <c r="C85" t="s">
        <v>67</v>
      </c>
      <c r="D85" t="s">
        <v>146</v>
      </c>
      <c r="F85" s="8" t="s">
        <v>158</v>
      </c>
      <c r="J85" s="10" t="s">
        <v>12</v>
      </c>
      <c r="K85" s="10" t="s">
        <v>21</v>
      </c>
      <c r="M85" s="5" t="str">
        <f t="shared" si="16"/>
        <v/>
      </c>
      <c r="N85" s="5">
        <f t="shared" si="10"/>
        <v>2</v>
      </c>
      <c r="O85" s="5">
        <v>999</v>
      </c>
      <c r="P85" s="5" t="str">
        <f t="shared" si="17"/>
        <v>DAV999STE</v>
      </c>
      <c r="Q85" s="3" t="str">
        <f t="shared" si="11"/>
        <v/>
      </c>
      <c r="R85" s="3" t="str">
        <f t="shared" si="12"/>
        <v/>
      </c>
      <c r="S85" s="3" t="str">
        <f t="shared" si="13"/>
        <v>Motion 4999</v>
      </c>
      <c r="T85" s="3" t="str">
        <f t="shared" si="14"/>
        <v>Motion 2999</v>
      </c>
      <c r="U85" s="3" t="str">
        <f t="shared" si="15"/>
        <v/>
      </c>
    </row>
    <row r="86" spans="1:21" x14ac:dyDescent="0.25">
      <c r="A86">
        <v>100</v>
      </c>
      <c r="B86" t="s">
        <v>9</v>
      </c>
      <c r="C86" t="s">
        <v>147</v>
      </c>
      <c r="D86" t="s">
        <v>148</v>
      </c>
      <c r="E86" s="8" t="s">
        <v>156</v>
      </c>
      <c r="F86" s="8" t="s">
        <v>158</v>
      </c>
      <c r="J86" s="10" t="s">
        <v>12</v>
      </c>
      <c r="M86" s="5" t="str">
        <f t="shared" si="16"/>
        <v/>
      </c>
      <c r="N86" s="5">
        <f t="shared" si="10"/>
        <v>1</v>
      </c>
      <c r="O86" s="5">
        <v>999</v>
      </c>
      <c r="P86" s="5" t="str">
        <f t="shared" si="17"/>
        <v>VIC999MIT</v>
      </c>
      <c r="Q86" s="3" t="str">
        <f t="shared" si="11"/>
        <v/>
      </c>
      <c r="R86" s="3" t="str">
        <f t="shared" si="12"/>
        <v/>
      </c>
      <c r="S86" s="3" t="str">
        <f t="shared" si="13"/>
        <v>Motion 999</v>
      </c>
      <c r="T86" s="3" t="str">
        <f t="shared" si="14"/>
        <v/>
      </c>
      <c r="U86" s="3" t="str">
        <f t="shared" si="15"/>
        <v/>
      </c>
    </row>
  </sheetData>
  <autoFilter ref="A1:U86" xr:uid="{F6066FD3-C540-449E-A841-C1FB8B24861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George</cp:lastModifiedBy>
  <dcterms:created xsi:type="dcterms:W3CDTF">2026-09-25T08:15:24Z</dcterms:created>
  <dcterms:modified xsi:type="dcterms:W3CDTF">2026-09-26T11:06:20Z</dcterms:modified>
</cp:coreProperties>
</file>