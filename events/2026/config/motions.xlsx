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ike\projects\work\wsw-results\events\2026\config\"/>
    </mc:Choice>
  </mc:AlternateContent>
  <xr:revisionPtr revIDLastSave="0" documentId="13_ncr:1_{D2B76AD1-83F8-4D74-9BB7-9FBDC679EB2E}" xr6:coauthVersionLast="47" xr6:coauthVersionMax="47" xr10:uidLastSave="{00000000-0000-0000-0000-000000000000}"/>
  <bookViews>
    <workbookView xWindow="-120" yWindow="-120" windowWidth="29040" windowHeight="15720" xr2:uid="{EF5FBE02-F020-4937-8353-2CA7CA3A0870}"/>
  </bookViews>
  <sheets>
    <sheet name="motions" sheetId="1" r:id="rId1"/>
  </sheets>
  <definedNames>
    <definedName name="_xlnm._FilterDatabase" localSheetId="0" hidden="1">motions!$A$1:$R$86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" i="1" l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6" i="1"/>
  <c r="M5" i="1"/>
  <c r="M4" i="1"/>
  <c r="M3" i="1"/>
  <c r="M2" i="1"/>
  <c r="M7" i="1"/>
  <c r="R2" i="1"/>
  <c r="Q2" i="1"/>
  <c r="N2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P2" i="1" s="1"/>
  <c r="R86" i="1"/>
  <c r="Q86" i="1"/>
  <c r="P86" i="1"/>
  <c r="O86" i="1"/>
  <c r="N86" i="1"/>
  <c r="R85" i="1"/>
  <c r="Q85" i="1"/>
  <c r="P85" i="1"/>
  <c r="O85" i="1"/>
  <c r="N85" i="1"/>
  <c r="R84" i="1"/>
  <c r="Q84" i="1"/>
  <c r="P84" i="1"/>
  <c r="O84" i="1"/>
  <c r="N84" i="1"/>
  <c r="R83" i="1"/>
  <c r="Q83" i="1"/>
  <c r="P83" i="1"/>
  <c r="O83" i="1"/>
  <c r="N83" i="1"/>
  <c r="R82" i="1"/>
  <c r="Q82" i="1"/>
  <c r="P82" i="1"/>
  <c r="O82" i="1"/>
  <c r="N82" i="1"/>
  <c r="R81" i="1"/>
  <c r="Q81" i="1"/>
  <c r="P81" i="1"/>
  <c r="O81" i="1"/>
  <c r="N81" i="1"/>
  <c r="R80" i="1"/>
  <c r="Q80" i="1"/>
  <c r="P80" i="1"/>
  <c r="O80" i="1"/>
  <c r="N80" i="1"/>
  <c r="R79" i="1"/>
  <c r="Q79" i="1"/>
  <c r="P79" i="1"/>
  <c r="O79" i="1"/>
  <c r="N79" i="1"/>
  <c r="R78" i="1"/>
  <c r="Q78" i="1"/>
  <c r="P78" i="1"/>
  <c r="O78" i="1"/>
  <c r="N78" i="1"/>
  <c r="R77" i="1"/>
  <c r="Q77" i="1"/>
  <c r="P77" i="1"/>
  <c r="O77" i="1"/>
  <c r="N77" i="1"/>
  <c r="R76" i="1"/>
  <c r="Q76" i="1"/>
  <c r="P76" i="1"/>
  <c r="O76" i="1"/>
  <c r="N76" i="1"/>
  <c r="R75" i="1"/>
  <c r="Q75" i="1"/>
  <c r="P75" i="1"/>
  <c r="O75" i="1"/>
  <c r="N75" i="1"/>
  <c r="R74" i="1"/>
  <c r="Q74" i="1"/>
  <c r="P74" i="1"/>
  <c r="O74" i="1"/>
  <c r="N74" i="1"/>
  <c r="R73" i="1"/>
  <c r="Q73" i="1"/>
  <c r="P73" i="1"/>
  <c r="O73" i="1"/>
  <c r="N73" i="1"/>
  <c r="R72" i="1"/>
  <c r="Q72" i="1"/>
  <c r="P72" i="1"/>
  <c r="O72" i="1"/>
  <c r="N72" i="1"/>
  <c r="R71" i="1"/>
  <c r="Q71" i="1"/>
  <c r="P71" i="1"/>
  <c r="O71" i="1"/>
  <c r="N71" i="1"/>
  <c r="R70" i="1"/>
  <c r="Q70" i="1"/>
  <c r="P70" i="1"/>
  <c r="O70" i="1"/>
  <c r="N70" i="1"/>
  <c r="R69" i="1"/>
  <c r="Q69" i="1"/>
  <c r="P69" i="1"/>
  <c r="O69" i="1"/>
  <c r="N69" i="1"/>
  <c r="R68" i="1"/>
  <c r="Q68" i="1"/>
  <c r="P68" i="1"/>
  <c r="O68" i="1"/>
  <c r="N68" i="1"/>
  <c r="R67" i="1"/>
  <c r="Q67" i="1"/>
  <c r="P67" i="1"/>
  <c r="O67" i="1"/>
  <c r="N67" i="1"/>
  <c r="R66" i="1"/>
  <c r="Q66" i="1"/>
  <c r="P66" i="1"/>
  <c r="O66" i="1"/>
  <c r="N66" i="1"/>
  <c r="R65" i="1"/>
  <c r="Q65" i="1"/>
  <c r="P65" i="1"/>
  <c r="O65" i="1"/>
  <c r="N65" i="1"/>
  <c r="R64" i="1"/>
  <c r="Q64" i="1"/>
  <c r="P64" i="1"/>
  <c r="O64" i="1"/>
  <c r="N64" i="1"/>
  <c r="R63" i="1"/>
  <c r="Q63" i="1"/>
  <c r="P63" i="1"/>
  <c r="O63" i="1"/>
  <c r="N63" i="1"/>
  <c r="R62" i="1"/>
  <c r="Q62" i="1"/>
  <c r="P62" i="1"/>
  <c r="O62" i="1"/>
  <c r="N62" i="1"/>
  <c r="R61" i="1"/>
  <c r="Q61" i="1"/>
  <c r="P61" i="1"/>
  <c r="O61" i="1"/>
  <c r="N61" i="1"/>
  <c r="R60" i="1"/>
  <c r="Q60" i="1"/>
  <c r="P60" i="1"/>
  <c r="O60" i="1"/>
  <c r="N60" i="1"/>
  <c r="R59" i="1"/>
  <c r="Q59" i="1"/>
  <c r="P59" i="1"/>
  <c r="O59" i="1"/>
  <c r="N59" i="1"/>
  <c r="R58" i="1"/>
  <c r="Q58" i="1"/>
  <c r="P58" i="1"/>
  <c r="O58" i="1"/>
  <c r="N58" i="1"/>
  <c r="R57" i="1"/>
  <c r="Q57" i="1"/>
  <c r="P57" i="1"/>
  <c r="O57" i="1"/>
  <c r="N57" i="1"/>
  <c r="R56" i="1"/>
  <c r="Q56" i="1"/>
  <c r="P56" i="1"/>
  <c r="O56" i="1"/>
  <c r="N56" i="1"/>
  <c r="R55" i="1"/>
  <c r="Q55" i="1"/>
  <c r="P55" i="1"/>
  <c r="O55" i="1"/>
  <c r="N55" i="1"/>
  <c r="R54" i="1"/>
  <c r="Q54" i="1"/>
  <c r="P54" i="1"/>
  <c r="O54" i="1"/>
  <c r="N54" i="1"/>
  <c r="R53" i="1"/>
  <c r="Q53" i="1"/>
  <c r="P53" i="1"/>
  <c r="O53" i="1"/>
  <c r="N53" i="1"/>
  <c r="R52" i="1"/>
  <c r="Q52" i="1"/>
  <c r="P52" i="1"/>
  <c r="O52" i="1"/>
  <c r="N52" i="1"/>
  <c r="R51" i="1"/>
  <c r="Q51" i="1"/>
  <c r="P51" i="1"/>
  <c r="O51" i="1"/>
  <c r="N51" i="1"/>
  <c r="R50" i="1"/>
  <c r="Q50" i="1"/>
  <c r="P50" i="1"/>
  <c r="O50" i="1"/>
  <c r="N50" i="1"/>
  <c r="R49" i="1"/>
  <c r="Q49" i="1"/>
  <c r="P49" i="1"/>
  <c r="O49" i="1"/>
  <c r="N49" i="1"/>
  <c r="R48" i="1"/>
  <c r="Q48" i="1"/>
  <c r="P48" i="1"/>
  <c r="O48" i="1"/>
  <c r="N48" i="1"/>
  <c r="R47" i="1"/>
  <c r="Q47" i="1"/>
  <c r="P47" i="1"/>
  <c r="O47" i="1"/>
  <c r="N47" i="1"/>
  <c r="R46" i="1"/>
  <c r="Q46" i="1"/>
  <c r="P46" i="1"/>
  <c r="O46" i="1"/>
  <c r="N46" i="1"/>
  <c r="R45" i="1"/>
  <c r="Q45" i="1"/>
  <c r="P45" i="1"/>
  <c r="O45" i="1"/>
  <c r="N45" i="1"/>
  <c r="R44" i="1"/>
  <c r="Q44" i="1"/>
  <c r="P44" i="1"/>
  <c r="O44" i="1"/>
  <c r="N44" i="1"/>
  <c r="R43" i="1"/>
  <c r="Q43" i="1"/>
  <c r="P43" i="1"/>
  <c r="O43" i="1"/>
  <c r="N43" i="1"/>
  <c r="R42" i="1"/>
  <c r="Q42" i="1"/>
  <c r="P42" i="1"/>
  <c r="O42" i="1"/>
  <c r="N42" i="1"/>
  <c r="R41" i="1"/>
  <c r="Q41" i="1"/>
  <c r="P41" i="1"/>
  <c r="O41" i="1"/>
  <c r="N41" i="1"/>
  <c r="R40" i="1"/>
  <c r="Q40" i="1"/>
  <c r="P40" i="1"/>
  <c r="O40" i="1"/>
  <c r="N40" i="1"/>
  <c r="R39" i="1"/>
  <c r="Q39" i="1"/>
  <c r="P39" i="1"/>
  <c r="O39" i="1"/>
  <c r="N39" i="1"/>
  <c r="R38" i="1"/>
  <c r="Q38" i="1"/>
  <c r="P38" i="1"/>
  <c r="O38" i="1"/>
  <c r="N38" i="1"/>
  <c r="R37" i="1"/>
  <c r="Q37" i="1"/>
  <c r="P37" i="1"/>
  <c r="O37" i="1"/>
  <c r="N37" i="1"/>
  <c r="R36" i="1"/>
  <c r="Q36" i="1"/>
  <c r="P36" i="1"/>
  <c r="O36" i="1"/>
  <c r="N36" i="1"/>
  <c r="R35" i="1"/>
  <c r="Q35" i="1"/>
  <c r="P35" i="1"/>
  <c r="O35" i="1"/>
  <c r="N35" i="1"/>
  <c r="R34" i="1"/>
  <c r="Q34" i="1"/>
  <c r="P34" i="1"/>
  <c r="O34" i="1"/>
  <c r="N34" i="1"/>
  <c r="R33" i="1"/>
  <c r="Q33" i="1"/>
  <c r="P33" i="1"/>
  <c r="O33" i="1"/>
  <c r="N33" i="1"/>
  <c r="R32" i="1"/>
  <c r="Q32" i="1"/>
  <c r="P32" i="1"/>
  <c r="O32" i="1"/>
  <c r="N32" i="1"/>
  <c r="R31" i="1"/>
  <c r="Q31" i="1"/>
  <c r="P31" i="1"/>
  <c r="O31" i="1"/>
  <c r="N31" i="1"/>
  <c r="R30" i="1"/>
  <c r="Q30" i="1"/>
  <c r="P30" i="1"/>
  <c r="O30" i="1"/>
  <c r="N30" i="1"/>
  <c r="R29" i="1"/>
  <c r="Q29" i="1"/>
  <c r="P29" i="1"/>
  <c r="O29" i="1"/>
  <c r="N29" i="1"/>
  <c r="R28" i="1"/>
  <c r="Q28" i="1"/>
  <c r="P28" i="1"/>
  <c r="O28" i="1"/>
  <c r="N28" i="1"/>
  <c r="R27" i="1"/>
  <c r="Q27" i="1"/>
  <c r="P27" i="1"/>
  <c r="O27" i="1"/>
  <c r="N27" i="1"/>
  <c r="R26" i="1"/>
  <c r="Q26" i="1"/>
  <c r="P26" i="1"/>
  <c r="O26" i="1"/>
  <c r="N26" i="1"/>
  <c r="R25" i="1"/>
  <c r="Q25" i="1"/>
  <c r="P25" i="1"/>
  <c r="O25" i="1"/>
  <c r="N25" i="1"/>
  <c r="R24" i="1"/>
  <c r="Q24" i="1"/>
  <c r="P24" i="1"/>
  <c r="O24" i="1"/>
  <c r="N24" i="1"/>
  <c r="R23" i="1"/>
  <c r="Q23" i="1"/>
  <c r="P23" i="1"/>
  <c r="O23" i="1"/>
  <c r="N23" i="1"/>
  <c r="R22" i="1"/>
  <c r="Q22" i="1"/>
  <c r="P22" i="1"/>
  <c r="O22" i="1"/>
  <c r="N22" i="1"/>
  <c r="R21" i="1"/>
  <c r="Q21" i="1"/>
  <c r="P21" i="1"/>
  <c r="O21" i="1"/>
  <c r="N21" i="1"/>
  <c r="R20" i="1"/>
  <c r="Q20" i="1"/>
  <c r="P20" i="1"/>
  <c r="O20" i="1"/>
  <c r="N20" i="1"/>
  <c r="R19" i="1"/>
  <c r="Q19" i="1"/>
  <c r="P19" i="1"/>
  <c r="O19" i="1"/>
  <c r="N19" i="1"/>
  <c r="R18" i="1"/>
  <c r="Q18" i="1"/>
  <c r="P18" i="1"/>
  <c r="O18" i="1"/>
  <c r="N18" i="1"/>
  <c r="R17" i="1"/>
  <c r="Q17" i="1"/>
  <c r="P17" i="1"/>
  <c r="O17" i="1"/>
  <c r="N17" i="1"/>
  <c r="R16" i="1"/>
  <c r="Q16" i="1"/>
  <c r="P16" i="1"/>
  <c r="O16" i="1"/>
  <c r="N16" i="1"/>
  <c r="R15" i="1"/>
  <c r="Q15" i="1"/>
  <c r="P15" i="1"/>
  <c r="O15" i="1"/>
  <c r="N15" i="1"/>
  <c r="R14" i="1"/>
  <c r="Q14" i="1"/>
  <c r="P14" i="1"/>
  <c r="O14" i="1"/>
  <c r="N14" i="1"/>
  <c r="R13" i="1"/>
  <c r="Q13" i="1"/>
  <c r="P13" i="1"/>
  <c r="O13" i="1"/>
  <c r="N13" i="1"/>
  <c r="R12" i="1"/>
  <c r="Q12" i="1"/>
  <c r="P12" i="1"/>
  <c r="O12" i="1"/>
  <c r="N12" i="1"/>
  <c r="R11" i="1"/>
  <c r="Q11" i="1"/>
  <c r="P11" i="1"/>
  <c r="O11" i="1"/>
  <c r="N11" i="1"/>
  <c r="R10" i="1"/>
  <c r="Q10" i="1"/>
  <c r="P10" i="1"/>
  <c r="O10" i="1"/>
  <c r="N10" i="1"/>
  <c r="R9" i="1"/>
  <c r="Q9" i="1"/>
  <c r="P9" i="1"/>
  <c r="O9" i="1"/>
  <c r="N9" i="1"/>
  <c r="R8" i="1"/>
  <c r="Q8" i="1"/>
  <c r="P8" i="1"/>
  <c r="O8" i="1"/>
  <c r="N8" i="1"/>
  <c r="R7" i="1"/>
  <c r="Q7" i="1"/>
  <c r="P7" i="1"/>
  <c r="O7" i="1"/>
  <c r="N7" i="1"/>
  <c r="R6" i="1"/>
  <c r="Q6" i="1"/>
  <c r="P6" i="1"/>
  <c r="O6" i="1"/>
  <c r="N6" i="1"/>
  <c r="R5" i="1"/>
  <c r="Q5" i="1"/>
  <c r="P5" i="1"/>
  <c r="O5" i="1"/>
  <c r="N5" i="1"/>
  <c r="R4" i="1"/>
  <c r="Q4" i="1"/>
  <c r="P4" i="1"/>
  <c r="O4" i="1"/>
  <c r="N4" i="1"/>
  <c r="R3" i="1"/>
  <c r="Q3" i="1"/>
  <c r="P3" i="1"/>
  <c r="O3" i="1"/>
  <c r="N3" i="1"/>
  <c r="O2" i="1" l="1"/>
</calcChain>
</file>

<file path=xl/sharedStrings.xml><?xml version="1.0" encoding="utf-8"?>
<sst xmlns="http://schemas.openxmlformats.org/spreadsheetml/2006/main" count="380" uniqueCount="154">
  <si>
    <t>ID</t>
  </si>
  <si>
    <t>Title</t>
  </si>
  <si>
    <t>First Name</t>
  </si>
  <si>
    <t>Family Name</t>
  </si>
  <si>
    <t>Motion for Boat</t>
  </si>
  <si>
    <t>Motion for Kiteboard</t>
  </si>
  <si>
    <t>Motion for Sailboard (fin)</t>
  </si>
  <si>
    <t>Motion for Sailboard (foil)</t>
  </si>
  <si>
    <t>Motion for Wingboard</t>
  </si>
  <si>
    <t>Mr</t>
  </si>
  <si>
    <t>Michael</t>
  </si>
  <si>
    <t>George</t>
  </si>
  <si>
    <t>Sailboard (Fin) Motion</t>
  </si>
  <si>
    <t>Sailboard (Foil) Motion</t>
  </si>
  <si>
    <t>Simon</t>
  </si>
  <si>
    <t>Pettifer</t>
  </si>
  <si>
    <t>Miss</t>
  </si>
  <si>
    <t>Jenna</t>
  </si>
  <si>
    <t>Gibson</t>
  </si>
  <si>
    <t>Stacey</t>
  </si>
  <si>
    <t>Vass</t>
  </si>
  <si>
    <t>Kiteboard Motion</t>
  </si>
  <si>
    <t>Ms</t>
  </si>
  <si>
    <t>Aya</t>
  </si>
  <si>
    <t>Eiffel</t>
  </si>
  <si>
    <t>Dylan</t>
  </si>
  <si>
    <t>Chick</t>
  </si>
  <si>
    <t>Richard</t>
  </si>
  <si>
    <t>Henderson</t>
  </si>
  <si>
    <t>Rod</t>
  </si>
  <si>
    <t>Dickinson</t>
  </si>
  <si>
    <t>Wingboard Motion</t>
  </si>
  <si>
    <t>Jean-Marc</t>
  </si>
  <si>
    <t>De Bruyne</t>
  </si>
  <si>
    <t>Dudley</t>
  </si>
  <si>
    <t>Ben</t>
  </si>
  <si>
    <t>Meyerhoff</t>
  </si>
  <si>
    <t>Jez</t>
  </si>
  <si>
    <t>Milne</t>
  </si>
  <si>
    <t>Mark</t>
  </si>
  <si>
    <t>Reeves</t>
  </si>
  <si>
    <t>Rob</t>
  </si>
  <si>
    <t>Longstaff</t>
  </si>
  <si>
    <t>Mrs</t>
  </si>
  <si>
    <t>Kate</t>
  </si>
  <si>
    <t>Rogers</t>
  </si>
  <si>
    <t>Barry</t>
  </si>
  <si>
    <t>Smith</t>
  </si>
  <si>
    <t>Crosby</t>
  </si>
  <si>
    <t>Peter</t>
  </si>
  <si>
    <t>Barker</t>
  </si>
  <si>
    <t>Scott</t>
  </si>
  <si>
    <t>Mayhew</t>
  </si>
  <si>
    <t>Nikolaos</t>
  </si>
  <si>
    <t>Iliadis</t>
  </si>
  <si>
    <t>Ingram</t>
  </si>
  <si>
    <t>Jonathan</t>
  </si>
  <si>
    <t>Salvage</t>
  </si>
  <si>
    <t>Andrew</t>
  </si>
  <si>
    <t>Owen</t>
  </si>
  <si>
    <t>Matthew</t>
  </si>
  <si>
    <t>Lilley</t>
  </si>
  <si>
    <t>Denis</t>
  </si>
  <si>
    <t>Gordo</t>
  </si>
  <si>
    <t>Harrison</t>
  </si>
  <si>
    <t>Sian</t>
  </si>
  <si>
    <t>Neil</t>
  </si>
  <si>
    <t>Steve</t>
  </si>
  <si>
    <t>Watson</t>
  </si>
  <si>
    <t>Brendan</t>
  </si>
  <si>
    <t>Lorho</t>
  </si>
  <si>
    <t>Francois</t>
  </si>
  <si>
    <t>Fin</t>
  </si>
  <si>
    <t>Fulton</t>
  </si>
  <si>
    <t>Bob</t>
  </si>
  <si>
    <t>Spagnoletti</t>
  </si>
  <si>
    <t>Paul</t>
  </si>
  <si>
    <t>Arnold</t>
  </si>
  <si>
    <t>Thompson</t>
  </si>
  <si>
    <t>Joey</t>
  </si>
  <si>
    <t>Watts</t>
  </si>
  <si>
    <t>Christine</t>
  </si>
  <si>
    <t>Daffe</t>
  </si>
  <si>
    <t>Wills</t>
  </si>
  <si>
    <t>Ian</t>
  </si>
  <si>
    <t>Shellcock</t>
  </si>
  <si>
    <t>Emile</t>
  </si>
  <si>
    <t>Burnaby Lautier</t>
  </si>
  <si>
    <t>Pavel</t>
  </si>
  <si>
    <t>Dvoulety</t>
  </si>
  <si>
    <t>Robin</t>
  </si>
  <si>
    <t>Russell</t>
  </si>
  <si>
    <t>Boat Motion</t>
  </si>
  <si>
    <t>James</t>
  </si>
  <si>
    <t>Brake</t>
  </si>
  <si>
    <t>John</t>
  </si>
  <si>
    <t>Oliver</t>
  </si>
  <si>
    <t>Anthony</t>
  </si>
  <si>
    <t>Barber</t>
  </si>
  <si>
    <t>Martin</t>
  </si>
  <si>
    <t>Bernie</t>
  </si>
  <si>
    <t>Collenette</t>
  </si>
  <si>
    <t>Anna</t>
  </si>
  <si>
    <t>Arlo</t>
  </si>
  <si>
    <t>Garry</t>
  </si>
  <si>
    <t>Connell</t>
  </si>
  <si>
    <t>Dinsmore</t>
  </si>
  <si>
    <t>Will</t>
  </si>
  <si>
    <t>Trossell</t>
  </si>
  <si>
    <t>Dave</t>
  </si>
  <si>
    <t>Williams</t>
  </si>
  <si>
    <t>Palmer</t>
  </si>
  <si>
    <t>Sanderson</t>
  </si>
  <si>
    <t>Newman</t>
  </si>
  <si>
    <t>Eddie</t>
  </si>
  <si>
    <t>Marsh</t>
  </si>
  <si>
    <t>Andy</t>
  </si>
  <si>
    <t>Stuart-William</t>
  </si>
  <si>
    <t>Longmuir</t>
  </si>
  <si>
    <t>Jonny</t>
  </si>
  <si>
    <t>Kirton</t>
  </si>
  <si>
    <t>Jim</t>
  </si>
  <si>
    <t>Crossley</t>
  </si>
  <si>
    <t>Jack</t>
  </si>
  <si>
    <t>Norman</t>
  </si>
  <si>
    <t>SÃ©bastien</t>
  </si>
  <si>
    <t>Camaret</t>
  </si>
  <si>
    <t>Hill</t>
  </si>
  <si>
    <t>Twinn</t>
  </si>
  <si>
    <t>Tim</t>
  </si>
  <si>
    <t>Humphreys</t>
  </si>
  <si>
    <t>Goodwin</t>
  </si>
  <si>
    <t>Trevor</t>
  </si>
  <si>
    <t>Whatford</t>
  </si>
  <si>
    <t>Kiernan</t>
  </si>
  <si>
    <t>Iain</t>
  </si>
  <si>
    <t>Neary</t>
  </si>
  <si>
    <t>martin</t>
  </si>
  <si>
    <t>carter</t>
  </si>
  <si>
    <t>Shane</t>
  </si>
  <si>
    <t>Verrion</t>
  </si>
  <si>
    <t>Bran</t>
  </si>
  <si>
    <t>Allan</t>
  </si>
  <si>
    <t>Cross</t>
  </si>
  <si>
    <t>Jay</t>
  </si>
  <si>
    <t>Miller</t>
  </si>
  <si>
    <t>Penna</t>
  </si>
  <si>
    <t>Davison</t>
  </si>
  <si>
    <t>Mitchell</t>
  </si>
  <si>
    <t>Vickers</t>
  </si>
  <si>
    <t>Motion ID</t>
  </si>
  <si>
    <t>Motion Label</t>
  </si>
  <si>
    <t>Craft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</si>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</sst>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5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6FD3-C540-449E-A841-C1FB8B248615}">
  <dimension ref="A1:R8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28515625" bestFit="1" customWidth="1"/>
    <col min="2" max="2" width="7.28515625" bestFit="1" customWidth="1"/>
    <col min="3" max="3" width="13" bestFit="1" customWidth="1"/>
    <col min="4" max="4" width="14.85546875" bestFit="1" customWidth="1"/>
    <col min="5" max="9" width="10.7109375" style="7" customWidth="1"/>
    <col min="10" max="11" width="11.140625" style="5" bestFit="1" customWidth="1"/>
    <col min="12" max="12" width="14.28515625" style="5" bestFit="1" customWidth="1"/>
    <col min="13" max="13" width="17.140625" style="5" bestFit="1" customWidth="1"/>
    <col min="14" max="14" width="23" style="3" bestFit="1" customWidth="1"/>
    <col min="15" max="15" width="26.7109375" style="3" bestFit="1" customWidth="1"/>
    <col min="16" max="16" width="26.140625" style="3" bestFit="1" customWidth="1"/>
    <col min="17" max="17" width="22" style="3" bestFit="1" customWidth="1"/>
    <col min="18" max="18" width="17.140625" style="3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8</v>
      </c>
      <c r="F1" s="6" t="s">
        <v>7</v>
      </c>
      <c r="G1" s="6" t="s">
        <v>6</v>
      </c>
      <c r="H1" s="6" t="s">
        <v>5</v>
      </c>
      <c r="I1" s="6" t="s">
        <v>4</v>
      </c>
      <c r="J1" s="4" t="s">
        <v>153</v>
      </c>
      <c r="K1" s="4" t="s">
        <v>152</v>
      </c>
      <c r="L1" s="4" t="s">
        <v>150</v>
      </c>
      <c r="M1" s="4" t="s">
        <v>151</v>
      </c>
      <c r="N1" s="2" t="s">
        <v>8</v>
      </c>
      <c r="O1" s="2" t="s">
        <v>7</v>
      </c>
      <c r="P1" s="2" t="s">
        <v>6</v>
      </c>
      <c r="Q1" s="2" t="s">
        <v>5</v>
      </c>
      <c r="R1" s="2" t="s">
        <v>4</v>
      </c>
    </row>
    <row r="2" spans="1:18" x14ac:dyDescent="0.25">
      <c r="A2">
        <v>13</v>
      </c>
      <c r="B2" t="s">
        <v>9</v>
      </c>
      <c r="C2" t="s">
        <v>10</v>
      </c>
      <c r="D2" t="s">
        <v>11</v>
      </c>
      <c r="F2" s="7" t="s">
        <v>13</v>
      </c>
      <c r="G2" s="7" t="s">
        <v>12</v>
      </c>
      <c r="K2" s="5">
        <f t="shared" ref="K2:K33" si="0">COUNTA(E2:I2)</f>
        <v>2</v>
      </c>
      <c r="L2" s="5">
        <v>999</v>
      </c>
      <c r="M2" s="5" t="str">
        <f t="shared" ref="M2:M6" si="1">UPPER(_xlfn.CONCAT(LEFT(D2,3),L2,LEFT(C2,3)))</f>
        <v>GEO999MIC</v>
      </c>
      <c r="N2" s="3" t="str">
        <f>IF(E2&lt;&gt;"", _xlfn.CONCAT(E2, " ",IF($K2&gt;1,"5",""),$L2), "")</f>
        <v/>
      </c>
      <c r="O2" s="3" t="str">
        <f>IF(F2&lt;&gt;"", _xlfn.CONCAT(F2, " ",IF($K2&gt;1,"4",""),$L2), "")</f>
        <v>Sailboard (Foil) Motion 4999</v>
      </c>
      <c r="P2" s="3" t="str">
        <f>IF(G2&lt;&gt;"", _xlfn.CONCAT(G2, " ",IF($K2&gt;1,"3",""),$L2), "")</f>
        <v>Sailboard (Fin) Motion 3999</v>
      </c>
      <c r="Q2" s="3" t="str">
        <f>IF(H2&lt;&gt;"", _xlfn.CONCAT(H2, " ",IF($K2&gt;1,"2",""),$L2), "")</f>
        <v/>
      </c>
      <c r="R2" s="3" t="str">
        <f>IF(I2&lt;&gt;"", _xlfn.CONCAT(I2, " ",IF($K2&gt;1,"1",""),$L2), "")</f>
        <v/>
      </c>
    </row>
    <row r="3" spans="1:18" x14ac:dyDescent="0.25">
      <c r="A3">
        <v>14</v>
      </c>
      <c r="B3" t="s">
        <v>9</v>
      </c>
      <c r="C3" t="s">
        <v>14</v>
      </c>
      <c r="D3" t="s">
        <v>15</v>
      </c>
      <c r="F3" s="7" t="s">
        <v>13</v>
      </c>
      <c r="G3" s="7" t="s">
        <v>12</v>
      </c>
      <c r="J3" s="5">
        <f>A3-A2</f>
        <v>1</v>
      </c>
      <c r="K3" s="5">
        <f t="shared" si="0"/>
        <v>2</v>
      </c>
      <c r="L3" s="5">
        <v>999</v>
      </c>
      <c r="M3" s="5" t="str">
        <f t="shared" si="1"/>
        <v>PET999SIM</v>
      </c>
      <c r="N3" s="3" t="str">
        <f t="shared" ref="N3:N34" si="2">IF(E3&lt;&gt;"", _xlfn.CONCAT(E3, " ",IF(COUNTA($E3:$I3)&gt;1,"5",""),$L3), "")</f>
        <v/>
      </c>
      <c r="O3" s="3" t="str">
        <f t="shared" ref="O3:O34" si="3">IF(F3&lt;&gt;"", _xlfn.CONCAT(F3, " ",IF(COUNTA($E3:$I3)&gt;1,"4",""),$L3), "")</f>
        <v>Sailboard (Foil) Motion 4999</v>
      </c>
      <c r="P3" s="3" t="str">
        <f t="shared" ref="P3:P34" si="4">IF(G3&lt;&gt;"", _xlfn.CONCAT(G3, " ",IF(COUNTA($E3:$I3)&gt;1,"3",""),$L3), "")</f>
        <v>Sailboard (Fin) Motion 3999</v>
      </c>
      <c r="Q3" s="3" t="str">
        <f t="shared" ref="Q3:Q34" si="5">IF(H3&lt;&gt;"", _xlfn.CONCAT(H3, " ",IF(COUNTA($E3:$I3)&gt;1,"2",""),$L3), "")</f>
        <v/>
      </c>
      <c r="R3" s="3" t="str">
        <f t="shared" ref="R3:R34" si="6">IF(I3&lt;&gt;"", _xlfn.CONCAT(I3, " ",IF(COUNTA($E3:$I3)&gt;1,"1",""),$L3), "")</f>
        <v/>
      </c>
    </row>
    <row r="4" spans="1:18" x14ac:dyDescent="0.25">
      <c r="A4">
        <v>15</v>
      </c>
      <c r="B4" t="s">
        <v>16</v>
      </c>
      <c r="C4" t="s">
        <v>17</v>
      </c>
      <c r="D4" t="s">
        <v>18</v>
      </c>
      <c r="F4" s="7" t="s">
        <v>13</v>
      </c>
      <c r="G4" s="7" t="s">
        <v>12</v>
      </c>
      <c r="J4" s="5">
        <f t="shared" ref="J4:J67" si="7">A4-A3</f>
        <v>1</v>
      </c>
      <c r="K4" s="5">
        <f t="shared" si="0"/>
        <v>2</v>
      </c>
      <c r="L4" s="5">
        <v>999</v>
      </c>
      <c r="M4" s="5" t="str">
        <f t="shared" si="1"/>
        <v>GIB999JEN</v>
      </c>
      <c r="N4" s="3" t="str">
        <f t="shared" si="2"/>
        <v/>
      </c>
      <c r="O4" s="3" t="str">
        <f t="shared" si="3"/>
        <v>Sailboard (Foil) Motion 4999</v>
      </c>
      <c r="P4" s="3" t="str">
        <f t="shared" si="4"/>
        <v>Sailboard (Fin) Motion 3999</v>
      </c>
      <c r="Q4" s="3" t="str">
        <f t="shared" si="5"/>
        <v/>
      </c>
      <c r="R4" s="3" t="str">
        <f t="shared" si="6"/>
        <v/>
      </c>
    </row>
    <row r="5" spans="1:18" x14ac:dyDescent="0.25">
      <c r="A5">
        <v>16</v>
      </c>
      <c r="B5" t="s">
        <v>9</v>
      </c>
      <c r="C5" t="s">
        <v>19</v>
      </c>
      <c r="D5" t="s">
        <v>20</v>
      </c>
      <c r="H5" s="7" t="s">
        <v>21</v>
      </c>
      <c r="J5" s="5">
        <f t="shared" si="7"/>
        <v>1</v>
      </c>
      <c r="K5" s="5">
        <f t="shared" si="0"/>
        <v>1</v>
      </c>
      <c r="L5" s="5">
        <v>999</v>
      </c>
      <c r="M5" s="5" t="str">
        <f t="shared" si="1"/>
        <v>VAS999STA</v>
      </c>
      <c r="N5" s="3" t="str">
        <f t="shared" si="2"/>
        <v/>
      </c>
      <c r="O5" s="3" t="str">
        <f t="shared" si="3"/>
        <v/>
      </c>
      <c r="P5" s="3" t="str">
        <f t="shared" si="4"/>
        <v/>
      </c>
      <c r="Q5" s="3" t="str">
        <f t="shared" si="5"/>
        <v>Kiteboard Motion 999</v>
      </c>
      <c r="R5" s="3" t="str">
        <f t="shared" si="6"/>
        <v/>
      </c>
    </row>
    <row r="6" spans="1:18" x14ac:dyDescent="0.25">
      <c r="A6">
        <v>17</v>
      </c>
      <c r="B6" t="s">
        <v>22</v>
      </c>
      <c r="C6" t="s">
        <v>23</v>
      </c>
      <c r="D6" t="s">
        <v>24</v>
      </c>
      <c r="H6" s="7" t="s">
        <v>21</v>
      </c>
      <c r="J6" s="5">
        <f t="shared" si="7"/>
        <v>1</v>
      </c>
      <c r="K6" s="5">
        <f t="shared" si="0"/>
        <v>1</v>
      </c>
      <c r="L6" s="5">
        <v>999</v>
      </c>
      <c r="M6" s="5" t="str">
        <f t="shared" si="1"/>
        <v>EIF999AYA</v>
      </c>
      <c r="N6" s="3" t="str">
        <f t="shared" si="2"/>
        <v/>
      </c>
      <c r="O6" s="3" t="str">
        <f t="shared" si="3"/>
        <v/>
      </c>
      <c r="P6" s="3" t="str">
        <f t="shared" si="4"/>
        <v/>
      </c>
      <c r="Q6" s="3" t="str">
        <f t="shared" si="5"/>
        <v>Kiteboard Motion 999</v>
      </c>
      <c r="R6" s="3" t="str">
        <f t="shared" si="6"/>
        <v/>
      </c>
    </row>
    <row r="7" spans="1:18" x14ac:dyDescent="0.25">
      <c r="A7">
        <v>18</v>
      </c>
      <c r="B7" t="s">
        <v>9</v>
      </c>
      <c r="C7" t="s">
        <v>25</v>
      </c>
      <c r="D7" t="s">
        <v>26</v>
      </c>
      <c r="F7" s="7" t="s">
        <v>13</v>
      </c>
      <c r="G7" s="7" t="s">
        <v>12</v>
      </c>
      <c r="J7" s="5">
        <f t="shared" si="7"/>
        <v>1</v>
      </c>
      <c r="K7" s="5">
        <f t="shared" si="0"/>
        <v>2</v>
      </c>
      <c r="L7" s="5">
        <v>999</v>
      </c>
      <c r="M7" s="5" t="str">
        <f>UPPER(_xlfn.CONCAT(LEFT(D7,3),L7,LEFT(C7,3)))</f>
        <v>CHI999DYL</v>
      </c>
      <c r="N7" s="3" t="str">
        <f t="shared" si="2"/>
        <v/>
      </c>
      <c r="O7" s="3" t="str">
        <f t="shared" si="3"/>
        <v>Sailboard (Foil) Motion 4999</v>
      </c>
      <c r="P7" s="3" t="str">
        <f t="shared" si="4"/>
        <v>Sailboard (Fin) Motion 3999</v>
      </c>
      <c r="Q7" s="3" t="str">
        <f t="shared" si="5"/>
        <v/>
      </c>
      <c r="R7" s="3" t="str">
        <f t="shared" si="6"/>
        <v/>
      </c>
    </row>
    <row r="8" spans="1:18" x14ac:dyDescent="0.25">
      <c r="A8">
        <v>19</v>
      </c>
      <c r="B8" t="s">
        <v>9</v>
      </c>
      <c r="C8" t="s">
        <v>27</v>
      </c>
      <c r="D8" t="s">
        <v>28</v>
      </c>
      <c r="G8" s="7" t="s">
        <v>12</v>
      </c>
      <c r="J8" s="5">
        <f t="shared" si="7"/>
        <v>1</v>
      </c>
      <c r="K8" s="5">
        <f t="shared" si="0"/>
        <v>1</v>
      </c>
      <c r="L8" s="5">
        <v>999</v>
      </c>
      <c r="M8" s="5" t="str">
        <f t="shared" ref="M8:M71" si="8">UPPER(_xlfn.CONCAT(LEFT(D8,3),L8,LEFT(C8,3)))</f>
        <v>HEN999RIC</v>
      </c>
      <c r="N8" s="3" t="str">
        <f t="shared" si="2"/>
        <v/>
      </c>
      <c r="O8" s="3" t="str">
        <f t="shared" si="3"/>
        <v/>
      </c>
      <c r="P8" s="3" t="str">
        <f t="shared" si="4"/>
        <v>Sailboard (Fin) Motion 999</v>
      </c>
      <c r="Q8" s="3" t="str">
        <f t="shared" si="5"/>
        <v/>
      </c>
      <c r="R8" s="3" t="str">
        <f t="shared" si="6"/>
        <v/>
      </c>
    </row>
    <row r="9" spans="1:18" x14ac:dyDescent="0.25">
      <c r="A9">
        <v>20</v>
      </c>
      <c r="B9" t="s">
        <v>9</v>
      </c>
      <c r="C9" t="s">
        <v>29</v>
      </c>
      <c r="D9" t="s">
        <v>30</v>
      </c>
      <c r="E9" s="7" t="s">
        <v>31</v>
      </c>
      <c r="J9" s="5">
        <f t="shared" si="7"/>
        <v>1</v>
      </c>
      <c r="K9" s="5">
        <f t="shared" si="0"/>
        <v>1</v>
      </c>
      <c r="L9" s="5">
        <v>999</v>
      </c>
      <c r="M9" s="5" t="str">
        <f t="shared" si="8"/>
        <v>DIC999ROD</v>
      </c>
      <c r="N9" s="3" t="str">
        <f t="shared" si="2"/>
        <v>Wingboard Motion 999</v>
      </c>
      <c r="O9" s="3" t="str">
        <f t="shared" si="3"/>
        <v/>
      </c>
      <c r="P9" s="3" t="str">
        <f t="shared" si="4"/>
        <v/>
      </c>
      <c r="Q9" s="3" t="str">
        <f t="shared" si="5"/>
        <v/>
      </c>
      <c r="R9" s="3" t="str">
        <f t="shared" si="6"/>
        <v/>
      </c>
    </row>
    <row r="10" spans="1:18" x14ac:dyDescent="0.25">
      <c r="A10">
        <v>21</v>
      </c>
      <c r="B10" t="s">
        <v>9</v>
      </c>
      <c r="C10" t="s">
        <v>32</v>
      </c>
      <c r="D10" t="s">
        <v>33</v>
      </c>
      <c r="G10" s="7" t="s">
        <v>12</v>
      </c>
      <c r="J10" s="5">
        <f t="shared" si="7"/>
        <v>1</v>
      </c>
      <c r="K10" s="5">
        <f t="shared" si="0"/>
        <v>1</v>
      </c>
      <c r="L10" s="5">
        <v>999</v>
      </c>
      <c r="M10" s="5" t="str">
        <f t="shared" si="8"/>
        <v>DE 999JEA</v>
      </c>
      <c r="N10" s="3" t="str">
        <f t="shared" si="2"/>
        <v/>
      </c>
      <c r="O10" s="3" t="str">
        <f t="shared" si="3"/>
        <v/>
      </c>
      <c r="P10" s="3" t="str">
        <f t="shared" si="4"/>
        <v>Sailboard (Fin) Motion 999</v>
      </c>
      <c r="Q10" s="3" t="str">
        <f t="shared" si="5"/>
        <v/>
      </c>
      <c r="R10" s="3" t="str">
        <f t="shared" si="6"/>
        <v/>
      </c>
    </row>
    <row r="11" spans="1:18" x14ac:dyDescent="0.25">
      <c r="A11">
        <v>22</v>
      </c>
      <c r="B11" t="s">
        <v>9</v>
      </c>
      <c r="C11" t="s">
        <v>27</v>
      </c>
      <c r="D11" t="s">
        <v>34</v>
      </c>
      <c r="F11" s="7" t="s">
        <v>13</v>
      </c>
      <c r="G11" s="7" t="s">
        <v>12</v>
      </c>
      <c r="J11" s="5">
        <f t="shared" si="7"/>
        <v>1</v>
      </c>
      <c r="K11" s="5">
        <f t="shared" si="0"/>
        <v>2</v>
      </c>
      <c r="L11" s="5">
        <v>999</v>
      </c>
      <c r="M11" s="5" t="str">
        <f t="shared" si="8"/>
        <v>DUD999RIC</v>
      </c>
      <c r="N11" s="3" t="str">
        <f t="shared" si="2"/>
        <v/>
      </c>
      <c r="O11" s="3" t="str">
        <f t="shared" si="3"/>
        <v>Sailboard (Foil) Motion 4999</v>
      </c>
      <c r="P11" s="3" t="str">
        <f t="shared" si="4"/>
        <v>Sailboard (Fin) Motion 3999</v>
      </c>
      <c r="Q11" s="3" t="str">
        <f t="shared" si="5"/>
        <v/>
      </c>
      <c r="R11" s="3" t="str">
        <f t="shared" si="6"/>
        <v/>
      </c>
    </row>
    <row r="12" spans="1:18" x14ac:dyDescent="0.25">
      <c r="A12">
        <v>23</v>
      </c>
      <c r="B12" t="s">
        <v>9</v>
      </c>
      <c r="C12" t="s">
        <v>35</v>
      </c>
      <c r="D12" t="s">
        <v>36</v>
      </c>
      <c r="G12" s="7" t="s">
        <v>12</v>
      </c>
      <c r="J12" s="5">
        <f t="shared" si="7"/>
        <v>1</v>
      </c>
      <c r="K12" s="5">
        <f t="shared" si="0"/>
        <v>1</v>
      </c>
      <c r="L12" s="5">
        <v>999</v>
      </c>
      <c r="M12" s="5" t="str">
        <f t="shared" si="8"/>
        <v>MEY999BEN</v>
      </c>
      <c r="N12" s="3" t="str">
        <f t="shared" si="2"/>
        <v/>
      </c>
      <c r="O12" s="3" t="str">
        <f t="shared" si="3"/>
        <v/>
      </c>
      <c r="P12" s="3" t="str">
        <f t="shared" si="4"/>
        <v>Sailboard (Fin) Motion 999</v>
      </c>
      <c r="Q12" s="3" t="str">
        <f t="shared" si="5"/>
        <v/>
      </c>
      <c r="R12" s="3" t="str">
        <f t="shared" si="6"/>
        <v/>
      </c>
    </row>
    <row r="13" spans="1:18" x14ac:dyDescent="0.25">
      <c r="A13">
        <v>24</v>
      </c>
      <c r="B13" t="s">
        <v>9</v>
      </c>
      <c r="C13" t="s">
        <v>37</v>
      </c>
      <c r="D13" t="s">
        <v>38</v>
      </c>
      <c r="E13" s="7" t="s">
        <v>31</v>
      </c>
      <c r="J13" s="5">
        <f t="shared" si="7"/>
        <v>1</v>
      </c>
      <c r="K13" s="5">
        <f t="shared" si="0"/>
        <v>1</v>
      </c>
      <c r="L13" s="5">
        <v>999</v>
      </c>
      <c r="M13" s="5" t="str">
        <f t="shared" si="8"/>
        <v>MIL999JEZ</v>
      </c>
      <c r="N13" s="3" t="str">
        <f t="shared" si="2"/>
        <v>Wingboard Motion 999</v>
      </c>
      <c r="O13" s="3" t="str">
        <f t="shared" si="3"/>
        <v/>
      </c>
      <c r="P13" s="3" t="str">
        <f t="shared" si="4"/>
        <v/>
      </c>
      <c r="Q13" s="3" t="str">
        <f t="shared" si="5"/>
        <v/>
      </c>
      <c r="R13" s="3" t="str">
        <f t="shared" si="6"/>
        <v/>
      </c>
    </row>
    <row r="14" spans="1:18" x14ac:dyDescent="0.25">
      <c r="A14">
        <v>25</v>
      </c>
      <c r="B14" t="s">
        <v>9</v>
      </c>
      <c r="C14" t="s">
        <v>39</v>
      </c>
      <c r="D14" t="s">
        <v>40</v>
      </c>
      <c r="G14" s="7" t="s">
        <v>12</v>
      </c>
      <c r="J14" s="5">
        <f t="shared" si="7"/>
        <v>1</v>
      </c>
      <c r="K14" s="5">
        <f t="shared" si="0"/>
        <v>1</v>
      </c>
      <c r="L14" s="5">
        <v>999</v>
      </c>
      <c r="M14" s="5" t="str">
        <f t="shared" si="8"/>
        <v>REE999MAR</v>
      </c>
      <c r="N14" s="3" t="str">
        <f t="shared" si="2"/>
        <v/>
      </c>
      <c r="O14" s="3" t="str">
        <f t="shared" si="3"/>
        <v/>
      </c>
      <c r="P14" s="3" t="str">
        <f t="shared" si="4"/>
        <v>Sailboard (Fin) Motion 999</v>
      </c>
      <c r="Q14" s="3" t="str">
        <f t="shared" si="5"/>
        <v/>
      </c>
      <c r="R14" s="3" t="str">
        <f t="shared" si="6"/>
        <v/>
      </c>
    </row>
    <row r="15" spans="1:18" x14ac:dyDescent="0.25">
      <c r="A15">
        <v>26</v>
      </c>
      <c r="B15" t="s">
        <v>9</v>
      </c>
      <c r="C15" t="s">
        <v>41</v>
      </c>
      <c r="D15" t="s">
        <v>42</v>
      </c>
      <c r="F15" s="7" t="s">
        <v>13</v>
      </c>
      <c r="G15" s="7" t="s">
        <v>12</v>
      </c>
      <c r="J15" s="5">
        <f t="shared" si="7"/>
        <v>1</v>
      </c>
      <c r="K15" s="5">
        <f t="shared" si="0"/>
        <v>2</v>
      </c>
      <c r="L15" s="5">
        <v>999</v>
      </c>
      <c r="M15" s="5" t="str">
        <f t="shared" si="8"/>
        <v>LON999ROB</v>
      </c>
      <c r="N15" s="3" t="str">
        <f t="shared" si="2"/>
        <v/>
      </c>
      <c r="O15" s="3" t="str">
        <f t="shared" si="3"/>
        <v>Sailboard (Foil) Motion 4999</v>
      </c>
      <c r="P15" s="3" t="str">
        <f t="shared" si="4"/>
        <v>Sailboard (Fin) Motion 3999</v>
      </c>
      <c r="Q15" s="3" t="str">
        <f t="shared" si="5"/>
        <v/>
      </c>
      <c r="R15" s="3" t="str">
        <f t="shared" si="6"/>
        <v/>
      </c>
    </row>
    <row r="16" spans="1:18" x14ac:dyDescent="0.25">
      <c r="A16">
        <v>27</v>
      </c>
      <c r="B16" t="s">
        <v>43</v>
      </c>
      <c r="C16" t="s">
        <v>44</v>
      </c>
      <c r="D16" t="s">
        <v>45</v>
      </c>
      <c r="E16" s="7" t="s">
        <v>31</v>
      </c>
      <c r="J16" s="5">
        <f t="shared" si="7"/>
        <v>1</v>
      </c>
      <c r="K16" s="5">
        <f t="shared" si="0"/>
        <v>1</v>
      </c>
      <c r="L16" s="5">
        <v>999</v>
      </c>
      <c r="M16" s="5" t="str">
        <f t="shared" si="8"/>
        <v>ROG999KAT</v>
      </c>
      <c r="N16" s="3" t="str">
        <f t="shared" si="2"/>
        <v>Wingboard Motion 999</v>
      </c>
      <c r="O16" s="3" t="str">
        <f t="shared" si="3"/>
        <v/>
      </c>
      <c r="P16" s="3" t="str">
        <f t="shared" si="4"/>
        <v/>
      </c>
      <c r="Q16" s="3" t="str">
        <f t="shared" si="5"/>
        <v/>
      </c>
      <c r="R16" s="3" t="str">
        <f t="shared" si="6"/>
        <v/>
      </c>
    </row>
    <row r="17" spans="1:18" x14ac:dyDescent="0.25">
      <c r="A17">
        <v>28</v>
      </c>
      <c r="B17" t="s">
        <v>9</v>
      </c>
      <c r="C17" t="s">
        <v>46</v>
      </c>
      <c r="D17" t="s">
        <v>47</v>
      </c>
      <c r="G17" s="7" t="s">
        <v>12</v>
      </c>
      <c r="J17" s="5">
        <f t="shared" si="7"/>
        <v>1</v>
      </c>
      <c r="K17" s="5">
        <f t="shared" si="0"/>
        <v>1</v>
      </c>
      <c r="L17" s="5">
        <v>999</v>
      </c>
      <c r="M17" s="5" t="str">
        <f t="shared" si="8"/>
        <v>SMI999BAR</v>
      </c>
      <c r="N17" s="3" t="str">
        <f t="shared" si="2"/>
        <v/>
      </c>
      <c r="O17" s="3" t="str">
        <f t="shared" si="3"/>
        <v/>
      </c>
      <c r="P17" s="3" t="str">
        <f t="shared" si="4"/>
        <v>Sailboard (Fin) Motion 999</v>
      </c>
      <c r="Q17" s="3" t="str">
        <f t="shared" si="5"/>
        <v/>
      </c>
      <c r="R17" s="3" t="str">
        <f t="shared" si="6"/>
        <v/>
      </c>
    </row>
    <row r="18" spans="1:18" x14ac:dyDescent="0.25">
      <c r="A18">
        <v>29</v>
      </c>
      <c r="B18" t="s">
        <v>9</v>
      </c>
      <c r="C18" t="s">
        <v>27</v>
      </c>
      <c r="D18" t="s">
        <v>48</v>
      </c>
      <c r="G18" s="7" t="s">
        <v>12</v>
      </c>
      <c r="J18" s="5">
        <f t="shared" si="7"/>
        <v>1</v>
      </c>
      <c r="K18" s="5">
        <f t="shared" si="0"/>
        <v>1</v>
      </c>
      <c r="L18" s="5">
        <v>999</v>
      </c>
      <c r="M18" s="5" t="str">
        <f t="shared" si="8"/>
        <v>CRO999RIC</v>
      </c>
      <c r="N18" s="3" t="str">
        <f t="shared" si="2"/>
        <v/>
      </c>
      <c r="O18" s="3" t="str">
        <f t="shared" si="3"/>
        <v/>
      </c>
      <c r="P18" s="3" t="str">
        <f t="shared" si="4"/>
        <v>Sailboard (Fin) Motion 999</v>
      </c>
      <c r="Q18" s="3" t="str">
        <f t="shared" si="5"/>
        <v/>
      </c>
      <c r="R18" s="3" t="str">
        <f t="shared" si="6"/>
        <v/>
      </c>
    </row>
    <row r="19" spans="1:18" x14ac:dyDescent="0.25">
      <c r="A19">
        <v>30</v>
      </c>
      <c r="B19" t="s">
        <v>9</v>
      </c>
      <c r="C19" t="s">
        <v>49</v>
      </c>
      <c r="D19" t="s">
        <v>48</v>
      </c>
      <c r="F19" s="7" t="s">
        <v>13</v>
      </c>
      <c r="G19" s="7" t="s">
        <v>12</v>
      </c>
      <c r="J19" s="5">
        <f t="shared" si="7"/>
        <v>1</v>
      </c>
      <c r="K19" s="5">
        <f t="shared" si="0"/>
        <v>2</v>
      </c>
      <c r="L19" s="5">
        <v>999</v>
      </c>
      <c r="M19" s="5" t="str">
        <f t="shared" si="8"/>
        <v>CRO999PET</v>
      </c>
      <c r="N19" s="3" t="str">
        <f t="shared" si="2"/>
        <v/>
      </c>
      <c r="O19" s="3" t="str">
        <f t="shared" si="3"/>
        <v>Sailboard (Foil) Motion 4999</v>
      </c>
      <c r="P19" s="3" t="str">
        <f t="shared" si="4"/>
        <v>Sailboard (Fin) Motion 3999</v>
      </c>
      <c r="Q19" s="3" t="str">
        <f t="shared" si="5"/>
        <v/>
      </c>
      <c r="R19" s="3" t="str">
        <f t="shared" si="6"/>
        <v/>
      </c>
    </row>
    <row r="20" spans="1:18" x14ac:dyDescent="0.25">
      <c r="A20">
        <v>31</v>
      </c>
      <c r="B20" t="s">
        <v>9</v>
      </c>
      <c r="C20" t="s">
        <v>14</v>
      </c>
      <c r="D20" t="s">
        <v>50</v>
      </c>
      <c r="G20" s="7" t="s">
        <v>12</v>
      </c>
      <c r="J20" s="5">
        <f t="shared" si="7"/>
        <v>1</v>
      </c>
      <c r="K20" s="5">
        <f t="shared" si="0"/>
        <v>1</v>
      </c>
      <c r="L20" s="5">
        <v>999</v>
      </c>
      <c r="M20" s="5" t="str">
        <f t="shared" si="8"/>
        <v>BAR999SIM</v>
      </c>
      <c r="N20" s="3" t="str">
        <f t="shared" si="2"/>
        <v/>
      </c>
      <c r="O20" s="3" t="str">
        <f t="shared" si="3"/>
        <v/>
      </c>
      <c r="P20" s="3" t="str">
        <f t="shared" si="4"/>
        <v>Sailboard (Fin) Motion 999</v>
      </c>
      <c r="Q20" s="3" t="str">
        <f t="shared" si="5"/>
        <v/>
      </c>
      <c r="R20" s="3" t="str">
        <f t="shared" si="6"/>
        <v/>
      </c>
    </row>
    <row r="21" spans="1:18" x14ac:dyDescent="0.25">
      <c r="A21">
        <v>32</v>
      </c>
      <c r="B21" t="s">
        <v>9</v>
      </c>
      <c r="C21" t="s">
        <v>51</v>
      </c>
      <c r="D21" t="s">
        <v>52</v>
      </c>
      <c r="G21" s="7" t="s">
        <v>12</v>
      </c>
      <c r="J21" s="5">
        <f t="shared" si="7"/>
        <v>1</v>
      </c>
      <c r="K21" s="5">
        <f t="shared" si="0"/>
        <v>1</v>
      </c>
      <c r="L21" s="5">
        <v>999</v>
      </c>
      <c r="M21" s="5" t="str">
        <f t="shared" si="8"/>
        <v>MAY999SCO</v>
      </c>
      <c r="N21" s="3" t="str">
        <f t="shared" si="2"/>
        <v/>
      </c>
      <c r="O21" s="3" t="str">
        <f t="shared" si="3"/>
        <v/>
      </c>
      <c r="P21" s="3" t="str">
        <f t="shared" si="4"/>
        <v>Sailboard (Fin) Motion 999</v>
      </c>
      <c r="Q21" s="3" t="str">
        <f t="shared" si="5"/>
        <v/>
      </c>
      <c r="R21" s="3" t="str">
        <f t="shared" si="6"/>
        <v/>
      </c>
    </row>
    <row r="22" spans="1:18" x14ac:dyDescent="0.25">
      <c r="A22">
        <v>33</v>
      </c>
      <c r="B22" t="s">
        <v>9</v>
      </c>
      <c r="C22" t="s">
        <v>53</v>
      </c>
      <c r="D22" t="s">
        <v>54</v>
      </c>
      <c r="F22" s="7" t="s">
        <v>13</v>
      </c>
      <c r="G22" s="7" t="s">
        <v>12</v>
      </c>
      <c r="J22" s="5">
        <f t="shared" si="7"/>
        <v>1</v>
      </c>
      <c r="K22" s="5">
        <f t="shared" si="0"/>
        <v>2</v>
      </c>
      <c r="L22" s="5">
        <v>999</v>
      </c>
      <c r="M22" s="5" t="str">
        <f t="shared" si="8"/>
        <v>ILI999NIK</v>
      </c>
      <c r="N22" s="3" t="str">
        <f t="shared" si="2"/>
        <v/>
      </c>
      <c r="O22" s="3" t="str">
        <f t="shared" si="3"/>
        <v>Sailboard (Foil) Motion 4999</v>
      </c>
      <c r="P22" s="3" t="str">
        <f t="shared" si="4"/>
        <v>Sailboard (Fin) Motion 3999</v>
      </c>
      <c r="Q22" s="3" t="str">
        <f t="shared" si="5"/>
        <v/>
      </c>
      <c r="R22" s="3" t="str">
        <f t="shared" si="6"/>
        <v/>
      </c>
    </row>
    <row r="23" spans="1:18" x14ac:dyDescent="0.25">
      <c r="A23">
        <v>34</v>
      </c>
      <c r="B23" t="s">
        <v>9</v>
      </c>
      <c r="C23" t="s">
        <v>39</v>
      </c>
      <c r="D23" t="s">
        <v>55</v>
      </c>
      <c r="F23" s="7" t="s">
        <v>13</v>
      </c>
      <c r="G23" s="7" t="s">
        <v>12</v>
      </c>
      <c r="J23" s="5">
        <f t="shared" si="7"/>
        <v>1</v>
      </c>
      <c r="K23" s="5">
        <f t="shared" si="0"/>
        <v>2</v>
      </c>
      <c r="L23" s="5">
        <v>999</v>
      </c>
      <c r="M23" s="5" t="str">
        <f t="shared" si="8"/>
        <v>ING999MAR</v>
      </c>
      <c r="N23" s="3" t="str">
        <f t="shared" si="2"/>
        <v/>
      </c>
      <c r="O23" s="3" t="str">
        <f t="shared" si="3"/>
        <v>Sailboard (Foil) Motion 4999</v>
      </c>
      <c r="P23" s="3" t="str">
        <f t="shared" si="4"/>
        <v>Sailboard (Fin) Motion 3999</v>
      </c>
      <c r="Q23" s="3" t="str">
        <f t="shared" si="5"/>
        <v/>
      </c>
      <c r="R23" s="3" t="str">
        <f t="shared" si="6"/>
        <v/>
      </c>
    </row>
    <row r="24" spans="1:18" x14ac:dyDescent="0.25">
      <c r="A24">
        <v>35</v>
      </c>
      <c r="B24" t="s">
        <v>9</v>
      </c>
      <c r="C24" t="s">
        <v>56</v>
      </c>
      <c r="D24" t="s">
        <v>55</v>
      </c>
      <c r="G24" s="7" t="s">
        <v>12</v>
      </c>
      <c r="J24" s="5">
        <f t="shared" si="7"/>
        <v>1</v>
      </c>
      <c r="K24" s="5">
        <f t="shared" si="0"/>
        <v>1</v>
      </c>
      <c r="L24" s="5">
        <v>999</v>
      </c>
      <c r="M24" s="5" t="str">
        <f t="shared" si="8"/>
        <v>ING999JON</v>
      </c>
      <c r="N24" s="3" t="str">
        <f t="shared" si="2"/>
        <v/>
      </c>
      <c r="O24" s="3" t="str">
        <f t="shared" si="3"/>
        <v/>
      </c>
      <c r="P24" s="3" t="str">
        <f t="shared" si="4"/>
        <v>Sailboard (Fin) Motion 999</v>
      </c>
      <c r="Q24" s="3" t="str">
        <f t="shared" si="5"/>
        <v/>
      </c>
      <c r="R24" s="3" t="str">
        <f t="shared" si="6"/>
        <v/>
      </c>
    </row>
    <row r="25" spans="1:18" x14ac:dyDescent="0.25">
      <c r="A25">
        <v>36</v>
      </c>
      <c r="B25" t="s">
        <v>9</v>
      </c>
      <c r="C25" t="s">
        <v>39</v>
      </c>
      <c r="D25" t="s">
        <v>57</v>
      </c>
      <c r="F25" s="7" t="s">
        <v>13</v>
      </c>
      <c r="G25" s="7" t="s">
        <v>12</v>
      </c>
      <c r="J25" s="5">
        <f t="shared" si="7"/>
        <v>1</v>
      </c>
      <c r="K25" s="5">
        <f t="shared" si="0"/>
        <v>2</v>
      </c>
      <c r="L25" s="5">
        <v>999</v>
      </c>
      <c r="M25" s="5" t="str">
        <f t="shared" si="8"/>
        <v>SAL999MAR</v>
      </c>
      <c r="N25" s="3" t="str">
        <f t="shared" si="2"/>
        <v/>
      </c>
      <c r="O25" s="3" t="str">
        <f t="shared" si="3"/>
        <v>Sailboard (Foil) Motion 4999</v>
      </c>
      <c r="P25" s="3" t="str">
        <f t="shared" si="4"/>
        <v>Sailboard (Fin) Motion 3999</v>
      </c>
      <c r="Q25" s="3" t="str">
        <f t="shared" si="5"/>
        <v/>
      </c>
      <c r="R25" s="3" t="str">
        <f t="shared" si="6"/>
        <v/>
      </c>
    </row>
    <row r="26" spans="1:18" x14ac:dyDescent="0.25">
      <c r="A26">
        <v>37</v>
      </c>
      <c r="B26" t="s">
        <v>9</v>
      </c>
      <c r="C26" t="s">
        <v>58</v>
      </c>
      <c r="D26" t="s">
        <v>59</v>
      </c>
      <c r="G26" s="7" t="s">
        <v>12</v>
      </c>
      <c r="J26" s="5">
        <f t="shared" si="7"/>
        <v>1</v>
      </c>
      <c r="K26" s="5">
        <f t="shared" si="0"/>
        <v>1</v>
      </c>
      <c r="L26" s="5">
        <v>999</v>
      </c>
      <c r="M26" s="5" t="str">
        <f t="shared" si="8"/>
        <v>OWE999AND</v>
      </c>
      <c r="N26" s="3" t="str">
        <f t="shared" si="2"/>
        <v/>
      </c>
      <c r="O26" s="3" t="str">
        <f t="shared" si="3"/>
        <v/>
      </c>
      <c r="P26" s="3" t="str">
        <f t="shared" si="4"/>
        <v>Sailboard (Fin) Motion 999</v>
      </c>
      <c r="Q26" s="3" t="str">
        <f t="shared" si="5"/>
        <v/>
      </c>
      <c r="R26" s="3" t="str">
        <f t="shared" si="6"/>
        <v/>
      </c>
    </row>
    <row r="27" spans="1:18" x14ac:dyDescent="0.25">
      <c r="A27">
        <v>38</v>
      </c>
      <c r="B27" t="s">
        <v>9</v>
      </c>
      <c r="C27" t="s">
        <v>60</v>
      </c>
      <c r="D27" t="s">
        <v>61</v>
      </c>
      <c r="G27" s="7" t="s">
        <v>12</v>
      </c>
      <c r="J27" s="5">
        <f t="shared" si="7"/>
        <v>1</v>
      </c>
      <c r="K27" s="5">
        <f t="shared" si="0"/>
        <v>1</v>
      </c>
      <c r="L27" s="5">
        <v>999</v>
      </c>
      <c r="M27" s="5" t="str">
        <f t="shared" si="8"/>
        <v>LIL999MAT</v>
      </c>
      <c r="N27" s="3" t="str">
        <f t="shared" si="2"/>
        <v/>
      </c>
      <c r="O27" s="3" t="str">
        <f t="shared" si="3"/>
        <v/>
      </c>
      <c r="P27" s="3" t="str">
        <f t="shared" si="4"/>
        <v>Sailboard (Fin) Motion 999</v>
      </c>
      <c r="Q27" s="3" t="str">
        <f t="shared" si="5"/>
        <v/>
      </c>
      <c r="R27" s="3" t="str">
        <f t="shared" si="6"/>
        <v/>
      </c>
    </row>
    <row r="28" spans="1:18" x14ac:dyDescent="0.25">
      <c r="A28">
        <v>39</v>
      </c>
      <c r="B28" t="s">
        <v>9</v>
      </c>
      <c r="C28" t="s">
        <v>62</v>
      </c>
      <c r="D28" t="s">
        <v>63</v>
      </c>
      <c r="E28" s="7" t="s">
        <v>31</v>
      </c>
      <c r="J28" s="5">
        <f t="shared" si="7"/>
        <v>1</v>
      </c>
      <c r="K28" s="5">
        <f t="shared" si="0"/>
        <v>1</v>
      </c>
      <c r="L28" s="5">
        <v>999</v>
      </c>
      <c r="M28" s="5" t="str">
        <f t="shared" si="8"/>
        <v>GOR999DEN</v>
      </c>
      <c r="N28" s="3" t="str">
        <f t="shared" si="2"/>
        <v>Wingboard Motion 999</v>
      </c>
      <c r="O28" s="3" t="str">
        <f t="shared" si="3"/>
        <v/>
      </c>
      <c r="P28" s="3" t="str">
        <f t="shared" si="4"/>
        <v/>
      </c>
      <c r="Q28" s="3" t="str">
        <f t="shared" si="5"/>
        <v/>
      </c>
      <c r="R28" s="3" t="str">
        <f t="shared" si="6"/>
        <v/>
      </c>
    </row>
    <row r="29" spans="1:18" x14ac:dyDescent="0.25">
      <c r="A29">
        <v>40</v>
      </c>
      <c r="B29" t="s">
        <v>9</v>
      </c>
      <c r="C29" t="s">
        <v>51</v>
      </c>
      <c r="D29" t="s">
        <v>64</v>
      </c>
      <c r="G29" s="7" t="s">
        <v>12</v>
      </c>
      <c r="J29" s="5">
        <f t="shared" si="7"/>
        <v>1</v>
      </c>
      <c r="K29" s="5">
        <f t="shared" si="0"/>
        <v>1</v>
      </c>
      <c r="L29" s="5">
        <v>999</v>
      </c>
      <c r="M29" s="5" t="str">
        <f t="shared" si="8"/>
        <v>HAR999SCO</v>
      </c>
      <c r="N29" s="3" t="str">
        <f t="shared" si="2"/>
        <v/>
      </c>
      <c r="O29" s="3" t="str">
        <f t="shared" si="3"/>
        <v/>
      </c>
      <c r="P29" s="3" t="str">
        <f t="shared" si="4"/>
        <v>Sailboard (Fin) Motion 999</v>
      </c>
      <c r="Q29" s="3" t="str">
        <f t="shared" si="5"/>
        <v/>
      </c>
      <c r="R29" s="3" t="str">
        <f t="shared" si="6"/>
        <v/>
      </c>
    </row>
    <row r="30" spans="1:18" x14ac:dyDescent="0.25">
      <c r="A30">
        <v>41</v>
      </c>
      <c r="B30" t="s">
        <v>43</v>
      </c>
      <c r="C30" t="s">
        <v>65</v>
      </c>
      <c r="D30" t="s">
        <v>64</v>
      </c>
      <c r="G30" s="7" t="s">
        <v>12</v>
      </c>
      <c r="J30" s="5">
        <f t="shared" si="7"/>
        <v>1</v>
      </c>
      <c r="K30" s="5">
        <f t="shared" si="0"/>
        <v>1</v>
      </c>
      <c r="L30" s="5">
        <v>999</v>
      </c>
      <c r="M30" s="5" t="str">
        <f t="shared" si="8"/>
        <v>HAR999SIA</v>
      </c>
      <c r="N30" s="3" t="str">
        <f t="shared" si="2"/>
        <v/>
      </c>
      <c r="O30" s="3" t="str">
        <f t="shared" si="3"/>
        <v/>
      </c>
      <c r="P30" s="3" t="str">
        <f t="shared" si="4"/>
        <v>Sailboard (Fin) Motion 999</v>
      </c>
      <c r="Q30" s="3" t="str">
        <f t="shared" si="5"/>
        <v/>
      </c>
      <c r="R30" s="3" t="str">
        <f t="shared" si="6"/>
        <v/>
      </c>
    </row>
    <row r="31" spans="1:18" x14ac:dyDescent="0.25">
      <c r="A31">
        <v>42</v>
      </c>
      <c r="B31" t="s">
        <v>9</v>
      </c>
      <c r="C31" t="s">
        <v>66</v>
      </c>
      <c r="D31" t="s">
        <v>36</v>
      </c>
      <c r="G31" s="7" t="s">
        <v>12</v>
      </c>
      <c r="J31" s="5">
        <f t="shared" si="7"/>
        <v>1</v>
      </c>
      <c r="K31" s="5">
        <f t="shared" si="0"/>
        <v>1</v>
      </c>
      <c r="L31" s="5">
        <v>999</v>
      </c>
      <c r="M31" s="5" t="str">
        <f t="shared" si="8"/>
        <v>MEY999NEI</v>
      </c>
      <c r="N31" s="3" t="str">
        <f t="shared" si="2"/>
        <v/>
      </c>
      <c r="O31" s="3" t="str">
        <f t="shared" si="3"/>
        <v/>
      </c>
      <c r="P31" s="3" t="str">
        <f t="shared" si="4"/>
        <v>Sailboard (Fin) Motion 999</v>
      </c>
      <c r="Q31" s="3" t="str">
        <f t="shared" si="5"/>
        <v/>
      </c>
      <c r="R31" s="3" t="str">
        <f t="shared" si="6"/>
        <v/>
      </c>
    </row>
    <row r="32" spans="1:18" x14ac:dyDescent="0.25">
      <c r="A32">
        <v>43</v>
      </c>
      <c r="B32" t="s">
        <v>9</v>
      </c>
      <c r="C32" t="s">
        <v>67</v>
      </c>
      <c r="D32" t="s">
        <v>68</v>
      </c>
      <c r="G32" s="7" t="s">
        <v>12</v>
      </c>
      <c r="J32" s="5">
        <f t="shared" si="7"/>
        <v>1</v>
      </c>
      <c r="K32" s="5">
        <f t="shared" si="0"/>
        <v>1</v>
      </c>
      <c r="L32" s="5">
        <v>999</v>
      </c>
      <c r="M32" s="5" t="str">
        <f t="shared" si="8"/>
        <v>WAT999STE</v>
      </c>
      <c r="N32" s="3" t="str">
        <f t="shared" si="2"/>
        <v/>
      </c>
      <c r="O32" s="3" t="str">
        <f t="shared" si="3"/>
        <v/>
      </c>
      <c r="P32" s="3" t="str">
        <f t="shared" si="4"/>
        <v>Sailboard (Fin) Motion 999</v>
      </c>
      <c r="Q32" s="3" t="str">
        <f t="shared" si="5"/>
        <v/>
      </c>
      <c r="R32" s="3" t="str">
        <f t="shared" si="6"/>
        <v/>
      </c>
    </row>
    <row r="33" spans="1:18" x14ac:dyDescent="0.25">
      <c r="A33">
        <v>44</v>
      </c>
      <c r="B33" t="s">
        <v>9</v>
      </c>
      <c r="C33" t="s">
        <v>69</v>
      </c>
      <c r="D33" t="s">
        <v>70</v>
      </c>
      <c r="F33" s="7" t="s">
        <v>13</v>
      </c>
      <c r="G33" s="7" t="s">
        <v>12</v>
      </c>
      <c r="J33" s="5">
        <f t="shared" si="7"/>
        <v>1</v>
      </c>
      <c r="K33" s="5">
        <f t="shared" si="0"/>
        <v>2</v>
      </c>
      <c r="L33" s="5">
        <v>999</v>
      </c>
      <c r="M33" s="5" t="str">
        <f t="shared" si="8"/>
        <v>LOR999BRE</v>
      </c>
      <c r="N33" s="3" t="str">
        <f t="shared" si="2"/>
        <v/>
      </c>
      <c r="O33" s="3" t="str">
        <f t="shared" si="3"/>
        <v>Sailboard (Foil) Motion 4999</v>
      </c>
      <c r="P33" s="3" t="str">
        <f t="shared" si="4"/>
        <v>Sailboard (Fin) Motion 3999</v>
      </c>
      <c r="Q33" s="3" t="str">
        <f t="shared" si="5"/>
        <v/>
      </c>
      <c r="R33" s="3" t="str">
        <f t="shared" si="6"/>
        <v/>
      </c>
    </row>
    <row r="34" spans="1:18" x14ac:dyDescent="0.25">
      <c r="A34">
        <v>45</v>
      </c>
      <c r="B34" t="s">
        <v>9</v>
      </c>
      <c r="C34" t="s">
        <v>71</v>
      </c>
      <c r="D34" t="s">
        <v>70</v>
      </c>
      <c r="G34" s="7" t="s">
        <v>12</v>
      </c>
      <c r="J34" s="5">
        <f t="shared" si="7"/>
        <v>1</v>
      </c>
      <c r="K34" s="5">
        <f t="shared" ref="K34:K65" si="9">COUNTA(E34:I34)</f>
        <v>1</v>
      </c>
      <c r="L34" s="5">
        <v>999</v>
      </c>
      <c r="M34" s="5" t="str">
        <f t="shared" si="8"/>
        <v>LOR999FRA</v>
      </c>
      <c r="N34" s="3" t="str">
        <f t="shared" si="2"/>
        <v/>
      </c>
      <c r="O34" s="3" t="str">
        <f t="shared" si="3"/>
        <v/>
      </c>
      <c r="P34" s="3" t="str">
        <f t="shared" si="4"/>
        <v>Sailboard (Fin) Motion 999</v>
      </c>
      <c r="Q34" s="3" t="str">
        <f t="shared" si="5"/>
        <v/>
      </c>
      <c r="R34" s="3" t="str">
        <f t="shared" si="6"/>
        <v/>
      </c>
    </row>
    <row r="35" spans="1:18" x14ac:dyDescent="0.25">
      <c r="A35">
        <v>46</v>
      </c>
      <c r="B35" t="s">
        <v>9</v>
      </c>
      <c r="C35" t="s">
        <v>72</v>
      </c>
      <c r="D35" t="s">
        <v>30</v>
      </c>
      <c r="F35" s="7" t="s">
        <v>13</v>
      </c>
      <c r="G35" s="7" t="s">
        <v>12</v>
      </c>
      <c r="J35" s="5">
        <f t="shared" si="7"/>
        <v>1</v>
      </c>
      <c r="K35" s="5">
        <f t="shared" si="9"/>
        <v>2</v>
      </c>
      <c r="L35" s="5">
        <v>999</v>
      </c>
      <c r="M35" s="5" t="str">
        <f t="shared" si="8"/>
        <v>DIC999FIN</v>
      </c>
      <c r="N35" s="3" t="str">
        <f t="shared" ref="N35:N66" si="10">IF(E35&lt;&gt;"", _xlfn.CONCAT(E35, " ",IF(COUNTA($E35:$I35)&gt;1,"5",""),$L35), "")</f>
        <v/>
      </c>
      <c r="O35" s="3" t="str">
        <f t="shared" ref="O35:O66" si="11">IF(F35&lt;&gt;"", _xlfn.CONCAT(F35, " ",IF(COUNTA($E35:$I35)&gt;1,"4",""),$L35), "")</f>
        <v>Sailboard (Foil) Motion 4999</v>
      </c>
      <c r="P35" s="3" t="str">
        <f t="shared" ref="P35:P66" si="12">IF(G35&lt;&gt;"", _xlfn.CONCAT(G35, " ",IF(COUNTA($E35:$I35)&gt;1,"3",""),$L35), "")</f>
        <v>Sailboard (Fin) Motion 3999</v>
      </c>
      <c r="Q35" s="3" t="str">
        <f t="shared" ref="Q35:Q66" si="13">IF(H35&lt;&gt;"", _xlfn.CONCAT(H35, " ",IF(COUNTA($E35:$I35)&gt;1,"2",""),$L35), "")</f>
        <v/>
      </c>
      <c r="R35" s="3" t="str">
        <f t="shared" ref="R35:R66" si="14">IF(I35&lt;&gt;"", _xlfn.CONCAT(I35, " ",IF(COUNTA($E35:$I35)&gt;1,"1",""),$L35), "")</f>
        <v/>
      </c>
    </row>
    <row r="36" spans="1:18" x14ac:dyDescent="0.25">
      <c r="A36">
        <v>47</v>
      </c>
      <c r="B36" t="s">
        <v>9</v>
      </c>
      <c r="C36" t="s">
        <v>11</v>
      </c>
      <c r="D36" t="s">
        <v>73</v>
      </c>
      <c r="G36" s="7" t="s">
        <v>12</v>
      </c>
      <c r="J36" s="5">
        <f t="shared" si="7"/>
        <v>1</v>
      </c>
      <c r="K36" s="5">
        <f t="shared" si="9"/>
        <v>1</v>
      </c>
      <c r="L36" s="5">
        <v>999</v>
      </c>
      <c r="M36" s="5" t="str">
        <f t="shared" si="8"/>
        <v>FUL999GEO</v>
      </c>
      <c r="N36" s="3" t="str">
        <f t="shared" si="10"/>
        <v/>
      </c>
      <c r="O36" s="3" t="str">
        <f t="shared" si="11"/>
        <v/>
      </c>
      <c r="P36" s="3" t="str">
        <f t="shared" si="12"/>
        <v>Sailboard (Fin) Motion 999</v>
      </c>
      <c r="Q36" s="3" t="str">
        <f t="shared" si="13"/>
        <v/>
      </c>
      <c r="R36" s="3" t="str">
        <f t="shared" si="14"/>
        <v/>
      </c>
    </row>
    <row r="37" spans="1:18" x14ac:dyDescent="0.25">
      <c r="A37">
        <v>48</v>
      </c>
      <c r="B37" t="s">
        <v>9</v>
      </c>
      <c r="C37" t="s">
        <v>74</v>
      </c>
      <c r="D37" t="s">
        <v>75</v>
      </c>
      <c r="G37" s="7" t="s">
        <v>12</v>
      </c>
      <c r="J37" s="5">
        <f t="shared" si="7"/>
        <v>1</v>
      </c>
      <c r="K37" s="5">
        <f t="shared" si="9"/>
        <v>1</v>
      </c>
      <c r="L37" s="5">
        <v>999</v>
      </c>
      <c r="M37" s="5" t="str">
        <f t="shared" si="8"/>
        <v>SPA999BOB</v>
      </c>
      <c r="N37" s="3" t="str">
        <f t="shared" si="10"/>
        <v/>
      </c>
      <c r="O37" s="3" t="str">
        <f t="shared" si="11"/>
        <v/>
      </c>
      <c r="P37" s="3" t="str">
        <f t="shared" si="12"/>
        <v>Sailboard (Fin) Motion 999</v>
      </c>
      <c r="Q37" s="3" t="str">
        <f t="shared" si="13"/>
        <v/>
      </c>
      <c r="R37" s="3" t="str">
        <f t="shared" si="14"/>
        <v/>
      </c>
    </row>
    <row r="38" spans="1:18" x14ac:dyDescent="0.25">
      <c r="A38">
        <v>49</v>
      </c>
      <c r="B38" t="s">
        <v>9</v>
      </c>
      <c r="C38" t="s">
        <v>76</v>
      </c>
      <c r="D38" t="s">
        <v>77</v>
      </c>
      <c r="G38" s="7" t="s">
        <v>12</v>
      </c>
      <c r="J38" s="5">
        <f t="shared" si="7"/>
        <v>1</v>
      </c>
      <c r="K38" s="5">
        <f t="shared" si="9"/>
        <v>1</v>
      </c>
      <c r="L38" s="5">
        <v>999</v>
      </c>
      <c r="M38" s="5" t="str">
        <f t="shared" si="8"/>
        <v>ARN999PAU</v>
      </c>
      <c r="N38" s="3" t="str">
        <f t="shared" si="10"/>
        <v/>
      </c>
      <c r="O38" s="3" t="str">
        <f t="shared" si="11"/>
        <v/>
      </c>
      <c r="P38" s="3" t="str">
        <f t="shared" si="12"/>
        <v>Sailboard (Fin) Motion 999</v>
      </c>
      <c r="Q38" s="3" t="str">
        <f t="shared" si="13"/>
        <v/>
      </c>
      <c r="R38" s="3" t="str">
        <f t="shared" si="14"/>
        <v/>
      </c>
    </row>
    <row r="39" spans="1:18" x14ac:dyDescent="0.25">
      <c r="A39">
        <v>50</v>
      </c>
      <c r="B39" t="s">
        <v>9</v>
      </c>
      <c r="C39" t="s">
        <v>67</v>
      </c>
      <c r="D39" t="s">
        <v>78</v>
      </c>
      <c r="G39" s="7" t="s">
        <v>12</v>
      </c>
      <c r="J39" s="5">
        <f t="shared" si="7"/>
        <v>1</v>
      </c>
      <c r="K39" s="5">
        <f t="shared" si="9"/>
        <v>1</v>
      </c>
      <c r="L39" s="5">
        <v>999</v>
      </c>
      <c r="M39" s="5" t="str">
        <f t="shared" si="8"/>
        <v>THO999STE</v>
      </c>
      <c r="N39" s="3" t="str">
        <f t="shared" si="10"/>
        <v/>
      </c>
      <c r="O39" s="3" t="str">
        <f t="shared" si="11"/>
        <v/>
      </c>
      <c r="P39" s="3" t="str">
        <f t="shared" si="12"/>
        <v>Sailboard (Fin) Motion 999</v>
      </c>
      <c r="Q39" s="3" t="str">
        <f t="shared" si="13"/>
        <v/>
      </c>
      <c r="R39" s="3" t="str">
        <f t="shared" si="14"/>
        <v/>
      </c>
    </row>
    <row r="40" spans="1:18" x14ac:dyDescent="0.25">
      <c r="A40">
        <v>51</v>
      </c>
      <c r="B40" t="s">
        <v>43</v>
      </c>
      <c r="C40" t="s">
        <v>79</v>
      </c>
      <c r="D40" t="s">
        <v>80</v>
      </c>
      <c r="G40" s="7" t="s">
        <v>12</v>
      </c>
      <c r="J40" s="5">
        <f t="shared" si="7"/>
        <v>1</v>
      </c>
      <c r="K40" s="5">
        <f t="shared" si="9"/>
        <v>1</v>
      </c>
      <c r="L40" s="5">
        <v>999</v>
      </c>
      <c r="M40" s="5" t="str">
        <f t="shared" si="8"/>
        <v>WAT999JOE</v>
      </c>
      <c r="N40" s="3" t="str">
        <f t="shared" si="10"/>
        <v/>
      </c>
      <c r="O40" s="3" t="str">
        <f t="shared" si="11"/>
        <v/>
      </c>
      <c r="P40" s="3" t="str">
        <f t="shared" si="12"/>
        <v>Sailboard (Fin) Motion 999</v>
      </c>
      <c r="Q40" s="3" t="str">
        <f t="shared" si="13"/>
        <v/>
      </c>
      <c r="R40" s="3" t="str">
        <f t="shared" si="14"/>
        <v/>
      </c>
    </row>
    <row r="41" spans="1:18" x14ac:dyDescent="0.25">
      <c r="A41">
        <v>52</v>
      </c>
      <c r="B41" t="s">
        <v>43</v>
      </c>
      <c r="C41" t="s">
        <v>81</v>
      </c>
      <c r="D41" t="s">
        <v>82</v>
      </c>
      <c r="G41" s="7" t="s">
        <v>12</v>
      </c>
      <c r="J41" s="5">
        <f t="shared" si="7"/>
        <v>1</v>
      </c>
      <c r="K41" s="5">
        <f t="shared" si="9"/>
        <v>1</v>
      </c>
      <c r="L41" s="5">
        <v>999</v>
      </c>
      <c r="M41" s="5" t="str">
        <f t="shared" si="8"/>
        <v>DAF999CHR</v>
      </c>
      <c r="N41" s="3" t="str">
        <f t="shared" si="10"/>
        <v/>
      </c>
      <c r="O41" s="3" t="str">
        <f t="shared" si="11"/>
        <v/>
      </c>
      <c r="P41" s="3" t="str">
        <f t="shared" si="12"/>
        <v>Sailboard (Fin) Motion 999</v>
      </c>
      <c r="Q41" s="3" t="str">
        <f t="shared" si="13"/>
        <v/>
      </c>
      <c r="R41" s="3" t="str">
        <f t="shared" si="14"/>
        <v/>
      </c>
    </row>
    <row r="42" spans="1:18" x14ac:dyDescent="0.25">
      <c r="A42">
        <v>53</v>
      </c>
      <c r="B42" t="s">
        <v>9</v>
      </c>
      <c r="C42" t="s">
        <v>56</v>
      </c>
      <c r="D42" t="s">
        <v>83</v>
      </c>
      <c r="G42" s="7" t="s">
        <v>12</v>
      </c>
      <c r="J42" s="5">
        <f t="shared" si="7"/>
        <v>1</v>
      </c>
      <c r="K42" s="5">
        <f t="shared" si="9"/>
        <v>1</v>
      </c>
      <c r="L42" s="5">
        <v>999</v>
      </c>
      <c r="M42" s="5" t="str">
        <f t="shared" si="8"/>
        <v>WIL999JON</v>
      </c>
      <c r="N42" s="3" t="str">
        <f t="shared" si="10"/>
        <v/>
      </c>
      <c r="O42" s="3" t="str">
        <f t="shared" si="11"/>
        <v/>
      </c>
      <c r="P42" s="3" t="str">
        <f t="shared" si="12"/>
        <v>Sailboard (Fin) Motion 999</v>
      </c>
      <c r="Q42" s="3" t="str">
        <f t="shared" si="13"/>
        <v/>
      </c>
      <c r="R42" s="3" t="str">
        <f t="shared" si="14"/>
        <v/>
      </c>
    </row>
    <row r="43" spans="1:18" x14ac:dyDescent="0.25">
      <c r="A43">
        <v>54</v>
      </c>
      <c r="B43" t="s">
        <v>9</v>
      </c>
      <c r="C43" t="s">
        <v>84</v>
      </c>
      <c r="D43" t="s">
        <v>85</v>
      </c>
      <c r="E43" s="7" t="s">
        <v>31</v>
      </c>
      <c r="J43" s="5">
        <f t="shared" si="7"/>
        <v>1</v>
      </c>
      <c r="K43" s="5">
        <f t="shared" si="9"/>
        <v>1</v>
      </c>
      <c r="L43" s="5">
        <v>999</v>
      </c>
      <c r="M43" s="5" t="str">
        <f t="shared" si="8"/>
        <v>SHE999IAN</v>
      </c>
      <c r="N43" s="3" t="str">
        <f t="shared" si="10"/>
        <v>Wingboard Motion 999</v>
      </c>
      <c r="O43" s="3" t="str">
        <f t="shared" si="11"/>
        <v/>
      </c>
      <c r="P43" s="3" t="str">
        <f t="shared" si="12"/>
        <v/>
      </c>
      <c r="Q43" s="3" t="str">
        <f t="shared" si="13"/>
        <v/>
      </c>
      <c r="R43" s="3" t="str">
        <f t="shared" si="14"/>
        <v/>
      </c>
    </row>
    <row r="44" spans="1:18" x14ac:dyDescent="0.25">
      <c r="A44">
        <v>55</v>
      </c>
      <c r="B44" t="s">
        <v>9</v>
      </c>
      <c r="C44" t="s">
        <v>86</v>
      </c>
      <c r="D44" t="s">
        <v>87</v>
      </c>
      <c r="H44" s="7" t="s">
        <v>21</v>
      </c>
      <c r="J44" s="5">
        <f t="shared" si="7"/>
        <v>1</v>
      </c>
      <c r="K44" s="5">
        <f t="shared" si="9"/>
        <v>1</v>
      </c>
      <c r="L44" s="5">
        <v>999</v>
      </c>
      <c r="M44" s="5" t="str">
        <f t="shared" si="8"/>
        <v>BUR999EMI</v>
      </c>
      <c r="N44" s="3" t="str">
        <f t="shared" si="10"/>
        <v/>
      </c>
      <c r="O44" s="3" t="str">
        <f t="shared" si="11"/>
        <v/>
      </c>
      <c r="P44" s="3" t="str">
        <f t="shared" si="12"/>
        <v/>
      </c>
      <c r="Q44" s="3" t="str">
        <f t="shared" si="13"/>
        <v>Kiteboard Motion 999</v>
      </c>
      <c r="R44" s="3" t="str">
        <f t="shared" si="14"/>
        <v/>
      </c>
    </row>
    <row r="45" spans="1:18" x14ac:dyDescent="0.25">
      <c r="A45">
        <v>56</v>
      </c>
      <c r="B45" t="s">
        <v>9</v>
      </c>
      <c r="C45" t="s">
        <v>88</v>
      </c>
      <c r="D45" t="s">
        <v>89</v>
      </c>
      <c r="F45" s="7" t="s">
        <v>13</v>
      </c>
      <c r="G45" s="7" t="s">
        <v>12</v>
      </c>
      <c r="J45" s="5">
        <f t="shared" si="7"/>
        <v>1</v>
      </c>
      <c r="K45" s="5">
        <f t="shared" si="9"/>
        <v>2</v>
      </c>
      <c r="L45" s="5">
        <v>999</v>
      </c>
      <c r="M45" s="5" t="str">
        <f t="shared" si="8"/>
        <v>DVO999PAV</v>
      </c>
      <c r="N45" s="3" t="str">
        <f t="shared" si="10"/>
        <v/>
      </c>
      <c r="O45" s="3" t="str">
        <f t="shared" si="11"/>
        <v>Sailboard (Foil) Motion 4999</v>
      </c>
      <c r="P45" s="3" t="str">
        <f t="shared" si="12"/>
        <v>Sailboard (Fin) Motion 3999</v>
      </c>
      <c r="Q45" s="3" t="str">
        <f t="shared" si="13"/>
        <v/>
      </c>
      <c r="R45" s="3" t="str">
        <f t="shared" si="14"/>
        <v/>
      </c>
    </row>
    <row r="46" spans="1:18" x14ac:dyDescent="0.25">
      <c r="A46">
        <v>57</v>
      </c>
      <c r="B46" t="s">
        <v>9</v>
      </c>
      <c r="C46" t="s">
        <v>90</v>
      </c>
      <c r="D46" t="s">
        <v>91</v>
      </c>
      <c r="G46" s="7" t="s">
        <v>12</v>
      </c>
      <c r="I46" s="7" t="s">
        <v>92</v>
      </c>
      <c r="J46" s="5">
        <f t="shared" si="7"/>
        <v>1</v>
      </c>
      <c r="K46" s="5">
        <f t="shared" si="9"/>
        <v>2</v>
      </c>
      <c r="L46" s="5">
        <v>999</v>
      </c>
      <c r="M46" s="5" t="str">
        <f t="shared" si="8"/>
        <v>RUS999ROB</v>
      </c>
      <c r="N46" s="3" t="str">
        <f t="shared" si="10"/>
        <v/>
      </c>
      <c r="O46" s="3" t="str">
        <f t="shared" si="11"/>
        <v/>
      </c>
      <c r="P46" s="3" t="str">
        <f t="shared" si="12"/>
        <v>Sailboard (Fin) Motion 3999</v>
      </c>
      <c r="Q46" s="3" t="str">
        <f t="shared" si="13"/>
        <v/>
      </c>
      <c r="R46" s="3" t="str">
        <f t="shared" si="14"/>
        <v>Boat Motion 1999</v>
      </c>
    </row>
    <row r="47" spans="1:18" x14ac:dyDescent="0.25">
      <c r="A47">
        <v>58</v>
      </c>
      <c r="B47" t="s">
        <v>9</v>
      </c>
      <c r="C47" t="s">
        <v>93</v>
      </c>
      <c r="D47" t="s">
        <v>94</v>
      </c>
      <c r="G47" s="7" t="s">
        <v>12</v>
      </c>
      <c r="J47" s="5">
        <f t="shared" si="7"/>
        <v>1</v>
      </c>
      <c r="K47" s="5">
        <f t="shared" si="9"/>
        <v>1</v>
      </c>
      <c r="L47" s="5">
        <v>999</v>
      </c>
      <c r="M47" s="5" t="str">
        <f t="shared" si="8"/>
        <v>BRA999JAM</v>
      </c>
      <c r="N47" s="3" t="str">
        <f t="shared" si="10"/>
        <v/>
      </c>
      <c r="O47" s="3" t="str">
        <f t="shared" si="11"/>
        <v/>
      </c>
      <c r="P47" s="3" t="str">
        <f t="shared" si="12"/>
        <v>Sailboard (Fin) Motion 999</v>
      </c>
      <c r="Q47" s="3" t="str">
        <f t="shared" si="13"/>
        <v/>
      </c>
      <c r="R47" s="3" t="str">
        <f t="shared" si="14"/>
        <v/>
      </c>
    </row>
    <row r="48" spans="1:18" x14ac:dyDescent="0.25">
      <c r="A48">
        <v>59</v>
      </c>
      <c r="B48" t="s">
        <v>9</v>
      </c>
      <c r="C48" t="s">
        <v>95</v>
      </c>
      <c r="D48" t="s">
        <v>96</v>
      </c>
      <c r="G48" s="7" t="s">
        <v>12</v>
      </c>
      <c r="J48" s="5">
        <f t="shared" si="7"/>
        <v>1</v>
      </c>
      <c r="K48" s="5">
        <f t="shared" si="9"/>
        <v>1</v>
      </c>
      <c r="L48" s="5">
        <v>999</v>
      </c>
      <c r="M48" s="5" t="str">
        <f t="shared" si="8"/>
        <v>OLI999JOH</v>
      </c>
      <c r="N48" s="3" t="str">
        <f t="shared" si="10"/>
        <v/>
      </c>
      <c r="O48" s="3" t="str">
        <f t="shared" si="11"/>
        <v/>
      </c>
      <c r="P48" s="3" t="str">
        <f t="shared" si="12"/>
        <v>Sailboard (Fin) Motion 999</v>
      </c>
      <c r="Q48" s="3" t="str">
        <f t="shared" si="13"/>
        <v/>
      </c>
      <c r="R48" s="3" t="str">
        <f t="shared" si="14"/>
        <v/>
      </c>
    </row>
    <row r="49" spans="1:18" x14ac:dyDescent="0.25">
      <c r="A49">
        <v>60</v>
      </c>
      <c r="B49" t="s">
        <v>9</v>
      </c>
      <c r="C49" t="s">
        <v>97</v>
      </c>
      <c r="D49" t="s">
        <v>98</v>
      </c>
      <c r="G49" s="7" t="s">
        <v>12</v>
      </c>
      <c r="J49" s="5">
        <f t="shared" si="7"/>
        <v>1</v>
      </c>
      <c r="K49" s="5">
        <f t="shared" si="9"/>
        <v>1</v>
      </c>
      <c r="L49" s="5">
        <v>999</v>
      </c>
      <c r="M49" s="5" t="str">
        <f t="shared" si="8"/>
        <v>BAR999ANT</v>
      </c>
      <c r="N49" s="3" t="str">
        <f t="shared" si="10"/>
        <v/>
      </c>
      <c r="O49" s="3" t="str">
        <f t="shared" si="11"/>
        <v/>
      </c>
      <c r="P49" s="3" t="str">
        <f t="shared" si="12"/>
        <v>Sailboard (Fin) Motion 999</v>
      </c>
      <c r="Q49" s="3" t="str">
        <f t="shared" si="13"/>
        <v/>
      </c>
      <c r="R49" s="3" t="str">
        <f t="shared" si="14"/>
        <v/>
      </c>
    </row>
    <row r="50" spans="1:18" x14ac:dyDescent="0.25">
      <c r="A50">
        <v>61</v>
      </c>
      <c r="B50" t="s">
        <v>9</v>
      </c>
      <c r="C50" t="s">
        <v>49</v>
      </c>
      <c r="D50" t="s">
        <v>99</v>
      </c>
      <c r="I50" s="7" t="s">
        <v>92</v>
      </c>
      <c r="J50" s="5">
        <f t="shared" si="7"/>
        <v>1</v>
      </c>
      <c r="K50" s="5">
        <f t="shared" si="9"/>
        <v>1</v>
      </c>
      <c r="L50" s="5">
        <v>999</v>
      </c>
      <c r="M50" s="5" t="str">
        <f t="shared" si="8"/>
        <v>MAR999PET</v>
      </c>
      <c r="N50" s="3" t="str">
        <f t="shared" si="10"/>
        <v/>
      </c>
      <c r="O50" s="3" t="str">
        <f t="shared" si="11"/>
        <v/>
      </c>
      <c r="P50" s="3" t="str">
        <f t="shared" si="12"/>
        <v/>
      </c>
      <c r="Q50" s="3" t="str">
        <f t="shared" si="13"/>
        <v/>
      </c>
      <c r="R50" s="3" t="str">
        <f t="shared" si="14"/>
        <v>Boat Motion 999</v>
      </c>
    </row>
    <row r="51" spans="1:18" x14ac:dyDescent="0.25">
      <c r="A51">
        <v>63</v>
      </c>
      <c r="B51" t="s">
        <v>9</v>
      </c>
      <c r="C51" t="s">
        <v>72</v>
      </c>
      <c r="D51" t="s">
        <v>100</v>
      </c>
      <c r="E51" s="7" t="s">
        <v>31</v>
      </c>
      <c r="J51" s="8">
        <f t="shared" si="7"/>
        <v>2</v>
      </c>
      <c r="K51" s="5">
        <f t="shared" si="9"/>
        <v>1</v>
      </c>
      <c r="L51" s="5">
        <v>999</v>
      </c>
      <c r="M51" s="5" t="str">
        <f t="shared" si="8"/>
        <v>BER999FIN</v>
      </c>
      <c r="N51" s="3" t="str">
        <f t="shared" si="10"/>
        <v>Wingboard Motion 999</v>
      </c>
      <c r="O51" s="3" t="str">
        <f t="shared" si="11"/>
        <v/>
      </c>
      <c r="P51" s="3" t="str">
        <f t="shared" si="12"/>
        <v/>
      </c>
      <c r="Q51" s="3" t="str">
        <f t="shared" si="13"/>
        <v/>
      </c>
      <c r="R51" s="3" t="str">
        <f t="shared" si="14"/>
        <v/>
      </c>
    </row>
    <row r="52" spans="1:18" x14ac:dyDescent="0.25">
      <c r="A52">
        <v>64</v>
      </c>
      <c r="B52" t="s">
        <v>9</v>
      </c>
      <c r="C52" t="s">
        <v>58</v>
      </c>
      <c r="D52" t="s">
        <v>101</v>
      </c>
      <c r="E52" s="7" t="s">
        <v>31</v>
      </c>
      <c r="J52" s="5">
        <f t="shared" si="7"/>
        <v>1</v>
      </c>
      <c r="K52" s="5">
        <f t="shared" si="9"/>
        <v>1</v>
      </c>
      <c r="L52" s="5">
        <v>999</v>
      </c>
      <c r="M52" s="5" t="str">
        <f t="shared" si="8"/>
        <v>COL999AND</v>
      </c>
      <c r="N52" s="3" t="str">
        <f t="shared" si="10"/>
        <v>Wingboard Motion 999</v>
      </c>
      <c r="O52" s="3" t="str">
        <f t="shared" si="11"/>
        <v/>
      </c>
      <c r="P52" s="3" t="str">
        <f t="shared" si="12"/>
        <v/>
      </c>
      <c r="Q52" s="3" t="str">
        <f t="shared" si="13"/>
        <v/>
      </c>
      <c r="R52" s="3" t="str">
        <f t="shared" si="14"/>
        <v/>
      </c>
    </row>
    <row r="53" spans="1:18" x14ac:dyDescent="0.25">
      <c r="A53">
        <v>65</v>
      </c>
      <c r="B53" t="s">
        <v>22</v>
      </c>
      <c r="C53" t="s">
        <v>102</v>
      </c>
      <c r="D53" t="s">
        <v>101</v>
      </c>
      <c r="E53" s="7" t="s">
        <v>31</v>
      </c>
      <c r="J53" s="5">
        <f t="shared" si="7"/>
        <v>1</v>
      </c>
      <c r="K53" s="5">
        <f t="shared" si="9"/>
        <v>1</v>
      </c>
      <c r="L53" s="5">
        <v>999</v>
      </c>
      <c r="M53" s="5" t="str">
        <f t="shared" si="8"/>
        <v>COL999ANN</v>
      </c>
      <c r="N53" s="3" t="str">
        <f t="shared" si="10"/>
        <v>Wingboard Motion 999</v>
      </c>
      <c r="O53" s="3" t="str">
        <f t="shared" si="11"/>
        <v/>
      </c>
      <c r="P53" s="3" t="str">
        <f t="shared" si="12"/>
        <v/>
      </c>
      <c r="Q53" s="3" t="str">
        <f t="shared" si="13"/>
        <v/>
      </c>
      <c r="R53" s="3" t="str">
        <f t="shared" si="14"/>
        <v/>
      </c>
    </row>
    <row r="54" spans="1:18" x14ac:dyDescent="0.25">
      <c r="A54">
        <v>66</v>
      </c>
      <c r="B54" t="s">
        <v>9</v>
      </c>
      <c r="C54" t="s">
        <v>103</v>
      </c>
      <c r="D54" t="s">
        <v>100</v>
      </c>
      <c r="E54" s="7" t="s">
        <v>31</v>
      </c>
      <c r="J54" s="5">
        <f t="shared" si="7"/>
        <v>1</v>
      </c>
      <c r="K54" s="5">
        <f t="shared" si="9"/>
        <v>1</v>
      </c>
      <c r="L54" s="5">
        <v>999</v>
      </c>
      <c r="M54" s="5" t="str">
        <f t="shared" si="8"/>
        <v>BER999ARL</v>
      </c>
      <c r="N54" s="3" t="str">
        <f t="shared" si="10"/>
        <v>Wingboard Motion 999</v>
      </c>
      <c r="O54" s="3" t="str">
        <f t="shared" si="11"/>
        <v/>
      </c>
      <c r="P54" s="3" t="str">
        <f t="shared" si="12"/>
        <v/>
      </c>
      <c r="Q54" s="3" t="str">
        <f t="shared" si="13"/>
        <v/>
      </c>
      <c r="R54" s="3" t="str">
        <f t="shared" si="14"/>
        <v/>
      </c>
    </row>
    <row r="55" spans="1:18" x14ac:dyDescent="0.25">
      <c r="A55">
        <v>67</v>
      </c>
      <c r="B55" t="s">
        <v>9</v>
      </c>
      <c r="C55" t="s">
        <v>104</v>
      </c>
      <c r="D55" t="s">
        <v>105</v>
      </c>
      <c r="F55" s="7" t="s">
        <v>13</v>
      </c>
      <c r="G55" s="7" t="s">
        <v>12</v>
      </c>
      <c r="J55" s="5">
        <f t="shared" si="7"/>
        <v>1</v>
      </c>
      <c r="K55" s="5">
        <f t="shared" si="9"/>
        <v>2</v>
      </c>
      <c r="L55" s="5">
        <v>999</v>
      </c>
      <c r="M55" s="5" t="str">
        <f t="shared" si="8"/>
        <v>CON999GAR</v>
      </c>
      <c r="N55" s="3" t="str">
        <f t="shared" si="10"/>
        <v/>
      </c>
      <c r="O55" s="3" t="str">
        <f t="shared" si="11"/>
        <v>Sailboard (Foil) Motion 4999</v>
      </c>
      <c r="P55" s="3" t="str">
        <f t="shared" si="12"/>
        <v>Sailboard (Fin) Motion 3999</v>
      </c>
      <c r="Q55" s="3" t="str">
        <f t="shared" si="13"/>
        <v/>
      </c>
      <c r="R55" s="3" t="str">
        <f t="shared" si="14"/>
        <v/>
      </c>
    </row>
    <row r="56" spans="1:18" x14ac:dyDescent="0.25">
      <c r="A56">
        <v>68</v>
      </c>
      <c r="B56" t="s">
        <v>9</v>
      </c>
      <c r="C56" t="s">
        <v>93</v>
      </c>
      <c r="D56" t="s">
        <v>106</v>
      </c>
      <c r="F56" s="7" t="s">
        <v>13</v>
      </c>
      <c r="G56" s="7" t="s">
        <v>12</v>
      </c>
      <c r="J56" s="5">
        <f t="shared" si="7"/>
        <v>1</v>
      </c>
      <c r="K56" s="5">
        <f t="shared" si="9"/>
        <v>2</v>
      </c>
      <c r="L56" s="5">
        <v>999</v>
      </c>
      <c r="M56" s="5" t="str">
        <f t="shared" si="8"/>
        <v>DIN999JAM</v>
      </c>
      <c r="N56" s="3" t="str">
        <f t="shared" si="10"/>
        <v/>
      </c>
      <c r="O56" s="3" t="str">
        <f t="shared" si="11"/>
        <v>Sailboard (Foil) Motion 4999</v>
      </c>
      <c r="P56" s="3" t="str">
        <f t="shared" si="12"/>
        <v>Sailboard (Fin) Motion 3999</v>
      </c>
      <c r="Q56" s="3" t="str">
        <f t="shared" si="13"/>
        <v/>
      </c>
      <c r="R56" s="3" t="str">
        <f t="shared" si="14"/>
        <v/>
      </c>
    </row>
    <row r="57" spans="1:18" x14ac:dyDescent="0.25">
      <c r="A57">
        <v>69</v>
      </c>
      <c r="B57" t="s">
        <v>9</v>
      </c>
      <c r="C57" t="s">
        <v>107</v>
      </c>
      <c r="D57" t="s">
        <v>108</v>
      </c>
      <c r="G57" s="7" t="s">
        <v>12</v>
      </c>
      <c r="J57" s="5">
        <f t="shared" si="7"/>
        <v>1</v>
      </c>
      <c r="K57" s="5">
        <f t="shared" si="9"/>
        <v>1</v>
      </c>
      <c r="L57" s="5">
        <v>999</v>
      </c>
      <c r="M57" s="5" t="str">
        <f t="shared" si="8"/>
        <v>TRO999WIL</v>
      </c>
      <c r="N57" s="3" t="str">
        <f t="shared" si="10"/>
        <v/>
      </c>
      <c r="O57" s="3" t="str">
        <f t="shared" si="11"/>
        <v/>
      </c>
      <c r="P57" s="3" t="str">
        <f t="shared" si="12"/>
        <v>Sailboard (Fin) Motion 999</v>
      </c>
      <c r="Q57" s="3" t="str">
        <f t="shared" si="13"/>
        <v/>
      </c>
      <c r="R57" s="3" t="str">
        <f t="shared" si="14"/>
        <v/>
      </c>
    </row>
    <row r="58" spans="1:18" x14ac:dyDescent="0.25">
      <c r="A58">
        <v>70</v>
      </c>
      <c r="B58" t="s">
        <v>9</v>
      </c>
      <c r="C58" t="s">
        <v>109</v>
      </c>
      <c r="D58" t="s">
        <v>110</v>
      </c>
      <c r="E58" s="7" t="s">
        <v>31</v>
      </c>
      <c r="H58" s="7" t="s">
        <v>21</v>
      </c>
      <c r="J58" s="5">
        <f t="shared" si="7"/>
        <v>1</v>
      </c>
      <c r="K58" s="5">
        <f t="shared" si="9"/>
        <v>2</v>
      </c>
      <c r="L58" s="5">
        <v>999</v>
      </c>
      <c r="M58" s="5" t="str">
        <f t="shared" si="8"/>
        <v>WIL999DAV</v>
      </c>
      <c r="N58" s="3" t="str">
        <f t="shared" si="10"/>
        <v>Wingboard Motion 5999</v>
      </c>
      <c r="O58" s="3" t="str">
        <f t="shared" si="11"/>
        <v/>
      </c>
      <c r="P58" s="3" t="str">
        <f t="shared" si="12"/>
        <v/>
      </c>
      <c r="Q58" s="3" t="str">
        <f t="shared" si="13"/>
        <v>Kiteboard Motion 2999</v>
      </c>
      <c r="R58" s="3" t="str">
        <f t="shared" si="14"/>
        <v/>
      </c>
    </row>
    <row r="59" spans="1:18" x14ac:dyDescent="0.25">
      <c r="A59">
        <v>71</v>
      </c>
      <c r="B59" t="s">
        <v>9</v>
      </c>
      <c r="C59" t="s">
        <v>39</v>
      </c>
      <c r="D59" t="s">
        <v>111</v>
      </c>
      <c r="G59" s="7" t="s">
        <v>12</v>
      </c>
      <c r="J59" s="5">
        <f t="shared" si="7"/>
        <v>1</v>
      </c>
      <c r="K59" s="5">
        <f t="shared" si="9"/>
        <v>1</v>
      </c>
      <c r="L59" s="5">
        <v>999</v>
      </c>
      <c r="M59" s="5" t="str">
        <f t="shared" si="8"/>
        <v>PAL999MAR</v>
      </c>
      <c r="N59" s="3" t="str">
        <f t="shared" si="10"/>
        <v/>
      </c>
      <c r="O59" s="3" t="str">
        <f t="shared" si="11"/>
        <v/>
      </c>
      <c r="P59" s="3" t="str">
        <f t="shared" si="12"/>
        <v>Sailboard (Fin) Motion 999</v>
      </c>
      <c r="Q59" s="3" t="str">
        <f t="shared" si="13"/>
        <v/>
      </c>
      <c r="R59" s="3" t="str">
        <f t="shared" si="14"/>
        <v/>
      </c>
    </row>
    <row r="60" spans="1:18" x14ac:dyDescent="0.25">
      <c r="A60">
        <v>72</v>
      </c>
      <c r="B60" t="s">
        <v>9</v>
      </c>
      <c r="C60" t="s">
        <v>14</v>
      </c>
      <c r="D60" t="s">
        <v>112</v>
      </c>
      <c r="E60" s="7" t="s">
        <v>31</v>
      </c>
      <c r="J60" s="5">
        <f t="shared" si="7"/>
        <v>1</v>
      </c>
      <c r="K60" s="5">
        <f t="shared" si="9"/>
        <v>1</v>
      </c>
      <c r="L60" s="5">
        <v>999</v>
      </c>
      <c r="M60" s="5" t="str">
        <f t="shared" si="8"/>
        <v>SAN999SIM</v>
      </c>
      <c r="N60" s="3" t="str">
        <f t="shared" si="10"/>
        <v>Wingboard Motion 999</v>
      </c>
      <c r="O60" s="3" t="str">
        <f t="shared" si="11"/>
        <v/>
      </c>
      <c r="P60" s="3" t="str">
        <f t="shared" si="12"/>
        <v/>
      </c>
      <c r="Q60" s="3" t="str">
        <f t="shared" si="13"/>
        <v/>
      </c>
      <c r="R60" s="3" t="str">
        <f t="shared" si="14"/>
        <v/>
      </c>
    </row>
    <row r="61" spans="1:18" x14ac:dyDescent="0.25">
      <c r="A61">
        <v>73</v>
      </c>
      <c r="B61" t="s">
        <v>9</v>
      </c>
      <c r="C61" t="s">
        <v>39</v>
      </c>
      <c r="D61" t="s">
        <v>113</v>
      </c>
      <c r="F61" s="7" t="s">
        <v>13</v>
      </c>
      <c r="G61" s="7" t="s">
        <v>12</v>
      </c>
      <c r="J61" s="5">
        <f t="shared" si="7"/>
        <v>1</v>
      </c>
      <c r="K61" s="5">
        <f t="shared" si="9"/>
        <v>2</v>
      </c>
      <c r="L61" s="5">
        <v>999</v>
      </c>
      <c r="M61" s="5" t="str">
        <f t="shared" si="8"/>
        <v>NEW999MAR</v>
      </c>
      <c r="N61" s="3" t="str">
        <f t="shared" si="10"/>
        <v/>
      </c>
      <c r="O61" s="3" t="str">
        <f t="shared" si="11"/>
        <v>Sailboard (Foil) Motion 4999</v>
      </c>
      <c r="P61" s="3" t="str">
        <f t="shared" si="12"/>
        <v>Sailboard (Fin) Motion 3999</v>
      </c>
      <c r="Q61" s="3" t="str">
        <f t="shared" si="13"/>
        <v/>
      </c>
      <c r="R61" s="3" t="str">
        <f t="shared" si="14"/>
        <v/>
      </c>
    </row>
    <row r="62" spans="1:18" x14ac:dyDescent="0.25">
      <c r="A62">
        <v>75</v>
      </c>
      <c r="B62" t="s">
        <v>9</v>
      </c>
      <c r="C62" t="s">
        <v>114</v>
      </c>
      <c r="D62" t="s">
        <v>115</v>
      </c>
      <c r="G62" s="7" t="s">
        <v>12</v>
      </c>
      <c r="J62" s="8">
        <f t="shared" si="7"/>
        <v>2</v>
      </c>
      <c r="K62" s="5">
        <f t="shared" si="9"/>
        <v>1</v>
      </c>
      <c r="L62" s="5">
        <v>999</v>
      </c>
      <c r="M62" s="5" t="str">
        <f t="shared" si="8"/>
        <v>MAR999EDD</v>
      </c>
      <c r="N62" s="3" t="str">
        <f t="shared" si="10"/>
        <v/>
      </c>
      <c r="O62" s="3" t="str">
        <f t="shared" si="11"/>
        <v/>
      </c>
      <c r="P62" s="3" t="str">
        <f t="shared" si="12"/>
        <v>Sailboard (Fin) Motion 999</v>
      </c>
      <c r="Q62" s="3" t="str">
        <f t="shared" si="13"/>
        <v/>
      </c>
      <c r="R62" s="3" t="str">
        <f t="shared" si="14"/>
        <v/>
      </c>
    </row>
    <row r="63" spans="1:18" x14ac:dyDescent="0.25">
      <c r="A63">
        <v>76</v>
      </c>
      <c r="B63" t="s">
        <v>9</v>
      </c>
      <c r="C63" t="s">
        <v>116</v>
      </c>
      <c r="D63" t="s">
        <v>117</v>
      </c>
      <c r="G63" s="7" t="s">
        <v>12</v>
      </c>
      <c r="J63" s="5">
        <f t="shared" si="7"/>
        <v>1</v>
      </c>
      <c r="K63" s="5">
        <f t="shared" si="9"/>
        <v>1</v>
      </c>
      <c r="L63" s="5">
        <v>999</v>
      </c>
      <c r="M63" s="5" t="str">
        <f t="shared" si="8"/>
        <v>STU999AND</v>
      </c>
      <c r="N63" s="3" t="str">
        <f t="shared" si="10"/>
        <v/>
      </c>
      <c r="O63" s="3" t="str">
        <f t="shared" si="11"/>
        <v/>
      </c>
      <c r="P63" s="3" t="str">
        <f t="shared" si="12"/>
        <v>Sailboard (Fin) Motion 999</v>
      </c>
      <c r="Q63" s="3" t="str">
        <f t="shared" si="13"/>
        <v/>
      </c>
      <c r="R63" s="3" t="str">
        <f t="shared" si="14"/>
        <v/>
      </c>
    </row>
    <row r="64" spans="1:18" x14ac:dyDescent="0.25">
      <c r="A64">
        <v>77</v>
      </c>
      <c r="B64" t="s">
        <v>9</v>
      </c>
      <c r="C64" t="s">
        <v>93</v>
      </c>
      <c r="D64" t="s">
        <v>118</v>
      </c>
      <c r="H64" s="7" t="s">
        <v>21</v>
      </c>
      <c r="J64" s="5">
        <f t="shared" si="7"/>
        <v>1</v>
      </c>
      <c r="K64" s="5">
        <f t="shared" si="9"/>
        <v>1</v>
      </c>
      <c r="L64" s="5">
        <v>999</v>
      </c>
      <c r="M64" s="5" t="str">
        <f t="shared" si="8"/>
        <v>LON999JAM</v>
      </c>
      <c r="N64" s="3" t="str">
        <f t="shared" si="10"/>
        <v/>
      </c>
      <c r="O64" s="3" t="str">
        <f t="shared" si="11"/>
        <v/>
      </c>
      <c r="P64" s="3" t="str">
        <f t="shared" si="12"/>
        <v/>
      </c>
      <c r="Q64" s="3" t="str">
        <f t="shared" si="13"/>
        <v>Kiteboard Motion 999</v>
      </c>
      <c r="R64" s="3" t="str">
        <f t="shared" si="14"/>
        <v/>
      </c>
    </row>
    <row r="65" spans="1:18" x14ac:dyDescent="0.25">
      <c r="A65">
        <v>78</v>
      </c>
      <c r="B65" t="s">
        <v>9</v>
      </c>
      <c r="C65" t="s">
        <v>91</v>
      </c>
      <c r="D65" t="s">
        <v>78</v>
      </c>
      <c r="G65" s="7" t="s">
        <v>12</v>
      </c>
      <c r="J65" s="5">
        <f t="shared" si="7"/>
        <v>1</v>
      </c>
      <c r="K65" s="5">
        <f t="shared" si="9"/>
        <v>1</v>
      </c>
      <c r="L65" s="5">
        <v>999</v>
      </c>
      <c r="M65" s="5" t="str">
        <f t="shared" si="8"/>
        <v>THO999RUS</v>
      </c>
      <c r="N65" s="3" t="str">
        <f t="shared" si="10"/>
        <v/>
      </c>
      <c r="O65" s="3" t="str">
        <f t="shared" si="11"/>
        <v/>
      </c>
      <c r="P65" s="3" t="str">
        <f t="shared" si="12"/>
        <v>Sailboard (Fin) Motion 999</v>
      </c>
      <c r="Q65" s="3" t="str">
        <f t="shared" si="13"/>
        <v/>
      </c>
      <c r="R65" s="3" t="str">
        <f t="shared" si="14"/>
        <v/>
      </c>
    </row>
    <row r="66" spans="1:18" x14ac:dyDescent="0.25">
      <c r="A66">
        <v>79</v>
      </c>
      <c r="B66" t="s">
        <v>9</v>
      </c>
      <c r="C66" t="s">
        <v>119</v>
      </c>
      <c r="D66" t="s">
        <v>120</v>
      </c>
      <c r="G66" s="7" t="s">
        <v>12</v>
      </c>
      <c r="J66" s="5">
        <f t="shared" si="7"/>
        <v>1</v>
      </c>
      <c r="K66" s="5">
        <f t="shared" ref="K66:K97" si="15">COUNTA(E66:I66)</f>
        <v>1</v>
      </c>
      <c r="L66" s="5">
        <v>999</v>
      </c>
      <c r="M66" s="5" t="str">
        <f t="shared" si="8"/>
        <v>KIR999JON</v>
      </c>
      <c r="N66" s="3" t="str">
        <f t="shared" si="10"/>
        <v/>
      </c>
      <c r="O66" s="3" t="str">
        <f t="shared" si="11"/>
        <v/>
      </c>
      <c r="P66" s="3" t="str">
        <f t="shared" si="12"/>
        <v>Sailboard (Fin) Motion 999</v>
      </c>
      <c r="Q66" s="3" t="str">
        <f t="shared" si="13"/>
        <v/>
      </c>
      <c r="R66" s="3" t="str">
        <f t="shared" si="14"/>
        <v/>
      </c>
    </row>
    <row r="67" spans="1:18" x14ac:dyDescent="0.25">
      <c r="A67">
        <v>80</v>
      </c>
      <c r="B67" t="s">
        <v>9</v>
      </c>
      <c r="C67" t="s">
        <v>121</v>
      </c>
      <c r="D67" t="s">
        <v>122</v>
      </c>
      <c r="G67" s="7" t="s">
        <v>12</v>
      </c>
      <c r="J67" s="5">
        <f t="shared" si="7"/>
        <v>1</v>
      </c>
      <c r="K67" s="5">
        <f t="shared" si="15"/>
        <v>1</v>
      </c>
      <c r="L67" s="5">
        <v>999</v>
      </c>
      <c r="M67" s="5" t="str">
        <f t="shared" si="8"/>
        <v>CRO999JIM</v>
      </c>
      <c r="N67" s="3" t="str">
        <f t="shared" ref="N67:N86" si="16">IF(E67&lt;&gt;"", _xlfn.CONCAT(E67, " ",IF(COUNTA($E67:$I67)&gt;1,"5",""),$L67), "")</f>
        <v/>
      </c>
      <c r="O67" s="3" t="str">
        <f t="shared" ref="O67:O86" si="17">IF(F67&lt;&gt;"", _xlfn.CONCAT(F67, " ",IF(COUNTA($E67:$I67)&gt;1,"4",""),$L67), "")</f>
        <v/>
      </c>
      <c r="P67" s="3" t="str">
        <f t="shared" ref="P67:P86" si="18">IF(G67&lt;&gt;"", _xlfn.CONCAT(G67, " ",IF(COUNTA($E67:$I67)&gt;1,"3",""),$L67), "")</f>
        <v>Sailboard (Fin) Motion 999</v>
      </c>
      <c r="Q67" s="3" t="str">
        <f t="shared" ref="Q67:Q86" si="19">IF(H67&lt;&gt;"", _xlfn.CONCAT(H67, " ",IF(COUNTA($E67:$I67)&gt;1,"2",""),$L67), "")</f>
        <v/>
      </c>
      <c r="R67" s="3" t="str">
        <f t="shared" ref="R67:R86" si="20">IF(I67&lt;&gt;"", _xlfn.CONCAT(I67, " ",IF(COUNTA($E67:$I67)&gt;1,"1",""),$L67), "")</f>
        <v/>
      </c>
    </row>
    <row r="68" spans="1:18" x14ac:dyDescent="0.25">
      <c r="A68">
        <v>81</v>
      </c>
      <c r="B68" t="s">
        <v>9</v>
      </c>
      <c r="C68" t="s">
        <v>11</v>
      </c>
      <c r="D68" t="s">
        <v>122</v>
      </c>
      <c r="G68" s="7" t="s">
        <v>12</v>
      </c>
      <c r="J68" s="5">
        <f t="shared" ref="J68:J86" si="21">A68-A67</f>
        <v>1</v>
      </c>
      <c r="K68" s="5">
        <f t="shared" si="15"/>
        <v>1</v>
      </c>
      <c r="L68" s="5">
        <v>999</v>
      </c>
      <c r="M68" s="5" t="str">
        <f t="shared" si="8"/>
        <v>CRO999GEO</v>
      </c>
      <c r="N68" s="3" t="str">
        <f t="shared" si="16"/>
        <v/>
      </c>
      <c r="O68" s="3" t="str">
        <f t="shared" si="17"/>
        <v/>
      </c>
      <c r="P68" s="3" t="str">
        <f t="shared" si="18"/>
        <v>Sailboard (Fin) Motion 999</v>
      </c>
      <c r="Q68" s="3" t="str">
        <f t="shared" si="19"/>
        <v/>
      </c>
      <c r="R68" s="3" t="str">
        <f t="shared" si="20"/>
        <v/>
      </c>
    </row>
    <row r="69" spans="1:18" x14ac:dyDescent="0.25">
      <c r="A69">
        <v>82</v>
      </c>
      <c r="B69" t="s">
        <v>9</v>
      </c>
      <c r="C69" t="s">
        <v>123</v>
      </c>
      <c r="D69" t="s">
        <v>122</v>
      </c>
      <c r="G69" s="7" t="s">
        <v>12</v>
      </c>
      <c r="J69" s="5">
        <f t="shared" si="21"/>
        <v>1</v>
      </c>
      <c r="K69" s="5">
        <f t="shared" si="15"/>
        <v>1</v>
      </c>
      <c r="L69" s="5">
        <v>999</v>
      </c>
      <c r="M69" s="5" t="str">
        <f t="shared" si="8"/>
        <v>CRO999JAC</v>
      </c>
      <c r="N69" s="3" t="str">
        <f t="shared" si="16"/>
        <v/>
      </c>
      <c r="O69" s="3" t="str">
        <f t="shared" si="17"/>
        <v/>
      </c>
      <c r="P69" s="3" t="str">
        <f t="shared" si="18"/>
        <v>Sailboard (Fin) Motion 999</v>
      </c>
      <c r="Q69" s="3" t="str">
        <f t="shared" si="19"/>
        <v/>
      </c>
      <c r="R69" s="3" t="str">
        <f t="shared" si="20"/>
        <v/>
      </c>
    </row>
    <row r="70" spans="1:18" x14ac:dyDescent="0.25">
      <c r="A70">
        <v>83</v>
      </c>
      <c r="B70" t="s">
        <v>9</v>
      </c>
      <c r="C70" t="s">
        <v>51</v>
      </c>
      <c r="D70" t="s">
        <v>124</v>
      </c>
      <c r="F70" s="7" t="s">
        <v>13</v>
      </c>
      <c r="G70" s="7" t="s">
        <v>12</v>
      </c>
      <c r="J70" s="5">
        <f t="shared" si="21"/>
        <v>1</v>
      </c>
      <c r="K70" s="5">
        <f t="shared" si="15"/>
        <v>2</v>
      </c>
      <c r="L70" s="5">
        <v>999</v>
      </c>
      <c r="M70" s="5" t="str">
        <f t="shared" si="8"/>
        <v>NOR999SCO</v>
      </c>
      <c r="N70" s="3" t="str">
        <f t="shared" si="16"/>
        <v/>
      </c>
      <c r="O70" s="3" t="str">
        <f t="shared" si="17"/>
        <v>Sailboard (Foil) Motion 4999</v>
      </c>
      <c r="P70" s="3" t="str">
        <f t="shared" si="18"/>
        <v>Sailboard (Fin) Motion 3999</v>
      </c>
      <c r="Q70" s="3" t="str">
        <f t="shared" si="19"/>
        <v/>
      </c>
      <c r="R70" s="3" t="str">
        <f t="shared" si="20"/>
        <v/>
      </c>
    </row>
    <row r="71" spans="1:18" x14ac:dyDescent="0.25">
      <c r="A71">
        <v>84</v>
      </c>
      <c r="B71" t="s">
        <v>9</v>
      </c>
      <c r="C71" t="s">
        <v>125</v>
      </c>
      <c r="D71" t="s">
        <v>126</v>
      </c>
      <c r="H71" s="7" t="s">
        <v>21</v>
      </c>
      <c r="J71" s="5">
        <f t="shared" si="21"/>
        <v>1</v>
      </c>
      <c r="K71" s="5">
        <f t="shared" si="15"/>
        <v>1</v>
      </c>
      <c r="L71" s="5">
        <v>999</v>
      </c>
      <c r="M71" s="5" t="str">
        <f t="shared" si="8"/>
        <v>CAM999SÃ©</v>
      </c>
      <c r="N71" s="3" t="str">
        <f t="shared" si="16"/>
        <v/>
      </c>
      <c r="O71" s="3" t="str">
        <f t="shared" si="17"/>
        <v/>
      </c>
      <c r="P71" s="3" t="str">
        <f t="shared" si="18"/>
        <v/>
      </c>
      <c r="Q71" s="3" t="str">
        <f t="shared" si="19"/>
        <v>Kiteboard Motion 999</v>
      </c>
      <c r="R71" s="3" t="str">
        <f t="shared" si="20"/>
        <v/>
      </c>
    </row>
    <row r="72" spans="1:18" x14ac:dyDescent="0.25">
      <c r="A72">
        <v>85</v>
      </c>
      <c r="B72" t="s">
        <v>9</v>
      </c>
      <c r="C72" t="s">
        <v>84</v>
      </c>
      <c r="D72" t="s">
        <v>127</v>
      </c>
      <c r="G72" s="7" t="s">
        <v>12</v>
      </c>
      <c r="J72" s="5">
        <f t="shared" si="21"/>
        <v>1</v>
      </c>
      <c r="K72" s="5">
        <f t="shared" si="15"/>
        <v>1</v>
      </c>
      <c r="L72" s="5">
        <v>999</v>
      </c>
      <c r="M72" s="5" t="str">
        <f t="shared" ref="M72:M86" si="22">UPPER(_xlfn.CONCAT(LEFT(D72,3),L72,LEFT(C72,3)))</f>
        <v>HIL999IAN</v>
      </c>
      <c r="N72" s="3" t="str">
        <f t="shared" si="16"/>
        <v/>
      </c>
      <c r="O72" s="3" t="str">
        <f t="shared" si="17"/>
        <v/>
      </c>
      <c r="P72" s="3" t="str">
        <f t="shared" si="18"/>
        <v>Sailboard (Fin) Motion 999</v>
      </c>
      <c r="Q72" s="3" t="str">
        <f t="shared" si="19"/>
        <v/>
      </c>
      <c r="R72" s="3" t="str">
        <f t="shared" si="20"/>
        <v/>
      </c>
    </row>
    <row r="73" spans="1:18" x14ac:dyDescent="0.25">
      <c r="A73">
        <v>86</v>
      </c>
      <c r="B73" t="s">
        <v>9</v>
      </c>
      <c r="C73" t="s">
        <v>58</v>
      </c>
      <c r="D73" t="s">
        <v>128</v>
      </c>
      <c r="F73" s="7" t="s">
        <v>13</v>
      </c>
      <c r="G73" s="7" t="s">
        <v>12</v>
      </c>
      <c r="J73" s="5">
        <f t="shared" si="21"/>
        <v>1</v>
      </c>
      <c r="K73" s="5">
        <f t="shared" si="15"/>
        <v>2</v>
      </c>
      <c r="L73" s="5">
        <v>999</v>
      </c>
      <c r="M73" s="5" t="str">
        <f t="shared" si="22"/>
        <v>TWI999AND</v>
      </c>
      <c r="N73" s="3" t="str">
        <f t="shared" si="16"/>
        <v/>
      </c>
      <c r="O73" s="3" t="str">
        <f t="shared" si="17"/>
        <v>Sailboard (Foil) Motion 4999</v>
      </c>
      <c r="P73" s="3" t="str">
        <f t="shared" si="18"/>
        <v>Sailboard (Fin) Motion 3999</v>
      </c>
      <c r="Q73" s="3" t="str">
        <f t="shared" si="19"/>
        <v/>
      </c>
      <c r="R73" s="3" t="str">
        <f t="shared" si="20"/>
        <v/>
      </c>
    </row>
    <row r="74" spans="1:18" x14ac:dyDescent="0.25">
      <c r="A74">
        <v>87</v>
      </c>
      <c r="B74" t="s">
        <v>9</v>
      </c>
      <c r="C74" t="s">
        <v>129</v>
      </c>
      <c r="D74" t="s">
        <v>130</v>
      </c>
      <c r="G74" s="7" t="s">
        <v>12</v>
      </c>
      <c r="J74" s="5">
        <f t="shared" si="21"/>
        <v>1</v>
      </c>
      <c r="K74" s="5">
        <f t="shared" si="15"/>
        <v>1</v>
      </c>
      <c r="L74" s="5">
        <v>999</v>
      </c>
      <c r="M74" s="5" t="str">
        <f t="shared" si="22"/>
        <v>HUM999TIM</v>
      </c>
      <c r="N74" s="3" t="str">
        <f t="shared" si="16"/>
        <v/>
      </c>
      <c r="O74" s="3" t="str">
        <f t="shared" si="17"/>
        <v/>
      </c>
      <c r="P74" s="3" t="str">
        <f t="shared" si="18"/>
        <v>Sailboard (Fin) Motion 999</v>
      </c>
      <c r="Q74" s="3" t="str">
        <f t="shared" si="19"/>
        <v/>
      </c>
      <c r="R74" s="3" t="str">
        <f t="shared" si="20"/>
        <v/>
      </c>
    </row>
    <row r="75" spans="1:18" x14ac:dyDescent="0.25">
      <c r="A75">
        <v>88</v>
      </c>
      <c r="B75" t="s">
        <v>9</v>
      </c>
      <c r="C75" t="s">
        <v>104</v>
      </c>
      <c r="D75" t="s">
        <v>131</v>
      </c>
      <c r="G75" s="7" t="s">
        <v>12</v>
      </c>
      <c r="J75" s="5">
        <f t="shared" si="21"/>
        <v>1</v>
      </c>
      <c r="K75" s="5">
        <f t="shared" si="15"/>
        <v>1</v>
      </c>
      <c r="L75" s="5">
        <v>999</v>
      </c>
      <c r="M75" s="5" t="str">
        <f t="shared" si="22"/>
        <v>GOO999GAR</v>
      </c>
      <c r="N75" s="3" t="str">
        <f t="shared" si="16"/>
        <v/>
      </c>
      <c r="O75" s="3" t="str">
        <f t="shared" si="17"/>
        <v/>
      </c>
      <c r="P75" s="3" t="str">
        <f t="shared" si="18"/>
        <v>Sailboard (Fin) Motion 999</v>
      </c>
      <c r="Q75" s="3" t="str">
        <f t="shared" si="19"/>
        <v/>
      </c>
      <c r="R75" s="3" t="str">
        <f t="shared" si="20"/>
        <v/>
      </c>
    </row>
    <row r="76" spans="1:18" x14ac:dyDescent="0.25">
      <c r="A76">
        <v>89</v>
      </c>
      <c r="B76" t="s">
        <v>9</v>
      </c>
      <c r="C76" t="s">
        <v>132</v>
      </c>
      <c r="D76" t="s">
        <v>133</v>
      </c>
      <c r="G76" s="7" t="s">
        <v>12</v>
      </c>
      <c r="J76" s="5">
        <f t="shared" si="21"/>
        <v>1</v>
      </c>
      <c r="K76" s="5">
        <f t="shared" si="15"/>
        <v>1</v>
      </c>
      <c r="L76" s="5">
        <v>999</v>
      </c>
      <c r="M76" s="5" t="str">
        <f t="shared" si="22"/>
        <v>WHA999TRE</v>
      </c>
      <c r="N76" s="3" t="str">
        <f t="shared" si="16"/>
        <v/>
      </c>
      <c r="O76" s="3" t="str">
        <f t="shared" si="17"/>
        <v/>
      </c>
      <c r="P76" s="3" t="str">
        <f t="shared" si="18"/>
        <v>Sailboard (Fin) Motion 999</v>
      </c>
      <c r="Q76" s="3" t="str">
        <f t="shared" si="19"/>
        <v/>
      </c>
      <c r="R76" s="3" t="str">
        <f t="shared" si="20"/>
        <v/>
      </c>
    </row>
    <row r="77" spans="1:18" x14ac:dyDescent="0.25">
      <c r="A77">
        <v>90</v>
      </c>
      <c r="B77" t="s">
        <v>9</v>
      </c>
      <c r="C77" t="s">
        <v>96</v>
      </c>
      <c r="D77" t="s">
        <v>134</v>
      </c>
      <c r="G77" s="7" t="s">
        <v>12</v>
      </c>
      <c r="J77" s="5">
        <f t="shared" si="21"/>
        <v>1</v>
      </c>
      <c r="K77" s="5">
        <f t="shared" si="15"/>
        <v>1</v>
      </c>
      <c r="L77" s="5">
        <v>999</v>
      </c>
      <c r="M77" s="5" t="str">
        <f t="shared" si="22"/>
        <v>KIE999OLI</v>
      </c>
      <c r="N77" s="3" t="str">
        <f t="shared" si="16"/>
        <v/>
      </c>
      <c r="O77" s="3" t="str">
        <f t="shared" si="17"/>
        <v/>
      </c>
      <c r="P77" s="3" t="str">
        <f t="shared" si="18"/>
        <v>Sailboard (Fin) Motion 999</v>
      </c>
      <c r="Q77" s="3" t="str">
        <f t="shared" si="19"/>
        <v/>
      </c>
      <c r="R77" s="3" t="str">
        <f t="shared" si="20"/>
        <v/>
      </c>
    </row>
    <row r="78" spans="1:18" x14ac:dyDescent="0.25">
      <c r="A78">
        <v>91</v>
      </c>
      <c r="B78" t="s">
        <v>9</v>
      </c>
      <c r="C78" t="s">
        <v>135</v>
      </c>
      <c r="D78" t="s">
        <v>136</v>
      </c>
      <c r="G78" s="7" t="s">
        <v>12</v>
      </c>
      <c r="J78" s="5">
        <f t="shared" si="21"/>
        <v>1</v>
      </c>
      <c r="K78" s="5">
        <f t="shared" si="15"/>
        <v>1</v>
      </c>
      <c r="L78" s="5">
        <v>999</v>
      </c>
      <c r="M78" s="5" t="str">
        <f t="shared" si="22"/>
        <v>NEA999IAI</v>
      </c>
      <c r="N78" s="3" t="str">
        <f t="shared" si="16"/>
        <v/>
      </c>
      <c r="O78" s="3" t="str">
        <f t="shared" si="17"/>
        <v/>
      </c>
      <c r="P78" s="3" t="str">
        <f t="shared" si="18"/>
        <v>Sailboard (Fin) Motion 999</v>
      </c>
      <c r="Q78" s="3" t="str">
        <f t="shared" si="19"/>
        <v/>
      </c>
      <c r="R78" s="3" t="str">
        <f t="shared" si="20"/>
        <v/>
      </c>
    </row>
    <row r="79" spans="1:18" x14ac:dyDescent="0.25">
      <c r="A79">
        <v>92</v>
      </c>
      <c r="B79" t="s">
        <v>9</v>
      </c>
      <c r="C79" t="s">
        <v>137</v>
      </c>
      <c r="D79" t="s">
        <v>138</v>
      </c>
      <c r="H79" s="7" t="s">
        <v>21</v>
      </c>
      <c r="J79" s="5">
        <f t="shared" si="21"/>
        <v>1</v>
      </c>
      <c r="K79" s="5">
        <f t="shared" si="15"/>
        <v>1</v>
      </c>
      <c r="L79" s="5">
        <v>999</v>
      </c>
      <c r="M79" s="5" t="str">
        <f t="shared" si="22"/>
        <v>CAR999MAR</v>
      </c>
      <c r="N79" s="3" t="str">
        <f t="shared" si="16"/>
        <v/>
      </c>
      <c r="O79" s="3" t="str">
        <f t="shared" si="17"/>
        <v/>
      </c>
      <c r="P79" s="3" t="str">
        <f t="shared" si="18"/>
        <v/>
      </c>
      <c r="Q79" s="3" t="str">
        <f t="shared" si="19"/>
        <v>Kiteboard Motion 999</v>
      </c>
      <c r="R79" s="3" t="str">
        <f t="shared" si="20"/>
        <v/>
      </c>
    </row>
    <row r="80" spans="1:18" x14ac:dyDescent="0.25">
      <c r="A80">
        <v>93</v>
      </c>
      <c r="B80" t="s">
        <v>9</v>
      </c>
      <c r="C80" t="s">
        <v>139</v>
      </c>
      <c r="D80" t="s">
        <v>140</v>
      </c>
      <c r="G80" s="7" t="s">
        <v>12</v>
      </c>
      <c r="J80" s="5">
        <f t="shared" si="21"/>
        <v>1</v>
      </c>
      <c r="K80" s="5">
        <f t="shared" si="15"/>
        <v>1</v>
      </c>
      <c r="L80" s="5">
        <v>999</v>
      </c>
      <c r="M80" s="5" t="str">
        <f t="shared" si="22"/>
        <v>VER999SHA</v>
      </c>
      <c r="N80" s="3" t="str">
        <f t="shared" si="16"/>
        <v/>
      </c>
      <c r="O80" s="3" t="str">
        <f t="shared" si="17"/>
        <v/>
      </c>
      <c r="P80" s="3" t="str">
        <f t="shared" si="18"/>
        <v>Sailboard (Fin) Motion 999</v>
      </c>
      <c r="Q80" s="3" t="str">
        <f t="shared" si="19"/>
        <v/>
      </c>
      <c r="R80" s="3" t="str">
        <f t="shared" si="20"/>
        <v/>
      </c>
    </row>
    <row r="81" spans="1:18" x14ac:dyDescent="0.25">
      <c r="A81">
        <v>94</v>
      </c>
      <c r="B81" t="s">
        <v>9</v>
      </c>
      <c r="C81" t="s">
        <v>76</v>
      </c>
      <c r="D81" t="s">
        <v>141</v>
      </c>
      <c r="G81" s="7" t="s">
        <v>12</v>
      </c>
      <c r="J81" s="5">
        <f t="shared" si="21"/>
        <v>1</v>
      </c>
      <c r="K81" s="5">
        <f t="shared" si="15"/>
        <v>1</v>
      </c>
      <c r="L81" s="5">
        <v>999</v>
      </c>
      <c r="M81" s="5" t="str">
        <f t="shared" si="22"/>
        <v>BRA999PAU</v>
      </c>
      <c r="N81" s="3" t="str">
        <f t="shared" si="16"/>
        <v/>
      </c>
      <c r="O81" s="3" t="str">
        <f t="shared" si="17"/>
        <v/>
      </c>
      <c r="P81" s="3" t="str">
        <f t="shared" si="18"/>
        <v>Sailboard (Fin) Motion 999</v>
      </c>
      <c r="Q81" s="3" t="str">
        <f t="shared" si="19"/>
        <v/>
      </c>
      <c r="R81" s="3" t="str">
        <f t="shared" si="20"/>
        <v/>
      </c>
    </row>
    <row r="82" spans="1:18" x14ac:dyDescent="0.25">
      <c r="A82">
        <v>96</v>
      </c>
      <c r="B82" t="s">
        <v>9</v>
      </c>
      <c r="C82" t="s">
        <v>142</v>
      </c>
      <c r="D82" t="s">
        <v>143</v>
      </c>
      <c r="F82" s="7" t="s">
        <v>13</v>
      </c>
      <c r="G82" s="7" t="s">
        <v>12</v>
      </c>
      <c r="J82" s="8">
        <f t="shared" si="21"/>
        <v>2</v>
      </c>
      <c r="K82" s="5">
        <f t="shared" si="15"/>
        <v>2</v>
      </c>
      <c r="L82" s="5">
        <v>999</v>
      </c>
      <c r="M82" s="5" t="str">
        <f t="shared" si="22"/>
        <v>CRO999ALL</v>
      </c>
      <c r="N82" s="3" t="str">
        <f t="shared" si="16"/>
        <v/>
      </c>
      <c r="O82" s="3" t="str">
        <f t="shared" si="17"/>
        <v>Sailboard (Foil) Motion 4999</v>
      </c>
      <c r="P82" s="3" t="str">
        <f t="shared" si="18"/>
        <v>Sailboard (Fin) Motion 3999</v>
      </c>
      <c r="Q82" s="3" t="str">
        <f t="shared" si="19"/>
        <v/>
      </c>
      <c r="R82" s="3" t="str">
        <f t="shared" si="20"/>
        <v/>
      </c>
    </row>
    <row r="83" spans="1:18" x14ac:dyDescent="0.25">
      <c r="A83">
        <v>97</v>
      </c>
      <c r="B83" t="s">
        <v>9</v>
      </c>
      <c r="C83" t="s">
        <v>144</v>
      </c>
      <c r="D83" t="s">
        <v>145</v>
      </c>
      <c r="E83" s="7" t="s">
        <v>31</v>
      </c>
      <c r="J83" s="5">
        <f t="shared" si="21"/>
        <v>1</v>
      </c>
      <c r="K83" s="5">
        <f t="shared" si="15"/>
        <v>1</v>
      </c>
      <c r="L83" s="5">
        <v>999</v>
      </c>
      <c r="M83" s="5" t="str">
        <f t="shared" si="22"/>
        <v>MIL999JAY</v>
      </c>
      <c r="N83" s="3" t="str">
        <f t="shared" si="16"/>
        <v>Wingboard Motion 999</v>
      </c>
      <c r="O83" s="3" t="str">
        <f t="shared" si="17"/>
        <v/>
      </c>
      <c r="P83" s="3" t="str">
        <f t="shared" si="18"/>
        <v/>
      </c>
      <c r="Q83" s="3" t="str">
        <f t="shared" si="19"/>
        <v/>
      </c>
      <c r="R83" s="3" t="str">
        <f t="shared" si="20"/>
        <v/>
      </c>
    </row>
    <row r="84" spans="1:18" x14ac:dyDescent="0.25">
      <c r="A84">
        <v>98</v>
      </c>
      <c r="B84" t="s">
        <v>9</v>
      </c>
      <c r="C84" t="s">
        <v>90</v>
      </c>
      <c r="D84" t="s">
        <v>146</v>
      </c>
      <c r="G84" s="7" t="s">
        <v>12</v>
      </c>
      <c r="J84" s="5">
        <f t="shared" si="21"/>
        <v>1</v>
      </c>
      <c r="K84" s="5">
        <f t="shared" si="15"/>
        <v>1</v>
      </c>
      <c r="L84" s="5">
        <v>999</v>
      </c>
      <c r="M84" s="5" t="str">
        <f t="shared" si="22"/>
        <v>PEN999ROB</v>
      </c>
      <c r="N84" s="3" t="str">
        <f t="shared" si="16"/>
        <v/>
      </c>
      <c r="O84" s="3" t="str">
        <f t="shared" si="17"/>
        <v/>
      </c>
      <c r="P84" s="3" t="str">
        <f t="shared" si="18"/>
        <v>Sailboard (Fin) Motion 999</v>
      </c>
      <c r="Q84" s="3" t="str">
        <f t="shared" si="19"/>
        <v/>
      </c>
      <c r="R84" s="3" t="str">
        <f t="shared" si="20"/>
        <v/>
      </c>
    </row>
    <row r="85" spans="1:18" x14ac:dyDescent="0.25">
      <c r="A85">
        <v>99</v>
      </c>
      <c r="B85" t="s">
        <v>9</v>
      </c>
      <c r="C85" t="s">
        <v>67</v>
      </c>
      <c r="D85" t="s">
        <v>147</v>
      </c>
      <c r="G85" s="7" t="s">
        <v>12</v>
      </c>
      <c r="H85" s="7" t="s">
        <v>21</v>
      </c>
      <c r="J85" s="5">
        <f t="shared" si="21"/>
        <v>1</v>
      </c>
      <c r="K85" s="5">
        <f t="shared" si="15"/>
        <v>2</v>
      </c>
      <c r="L85" s="5">
        <v>999</v>
      </c>
      <c r="M85" s="5" t="str">
        <f t="shared" si="22"/>
        <v>DAV999STE</v>
      </c>
      <c r="N85" s="3" t="str">
        <f t="shared" si="16"/>
        <v/>
      </c>
      <c r="O85" s="3" t="str">
        <f t="shared" si="17"/>
        <v/>
      </c>
      <c r="P85" s="3" t="str">
        <f t="shared" si="18"/>
        <v>Sailboard (Fin) Motion 3999</v>
      </c>
      <c r="Q85" s="3" t="str">
        <f t="shared" si="19"/>
        <v>Kiteboard Motion 2999</v>
      </c>
      <c r="R85" s="3" t="str">
        <f t="shared" si="20"/>
        <v/>
      </c>
    </row>
    <row r="86" spans="1:18" x14ac:dyDescent="0.25">
      <c r="A86">
        <v>100</v>
      </c>
      <c r="B86" t="s">
        <v>9</v>
      </c>
      <c r="C86" t="s">
        <v>148</v>
      </c>
      <c r="D86" t="s">
        <v>149</v>
      </c>
      <c r="G86" s="7" t="s">
        <v>12</v>
      </c>
      <c r="J86" s="5">
        <f t="shared" si="21"/>
        <v>1</v>
      </c>
      <c r="K86" s="5">
        <f t="shared" si="15"/>
        <v>1</v>
      </c>
      <c r="L86" s="5">
        <v>999</v>
      </c>
      <c r="M86" s="5" t="str">
        <f t="shared" si="22"/>
        <v>VIC999MIT</v>
      </c>
      <c r="N86" s="3" t="str">
        <f t="shared" si="16"/>
        <v/>
      </c>
      <c r="O86" s="3" t="str">
        <f t="shared" si="17"/>
        <v/>
      </c>
      <c r="P86" s="3" t="str">
        <f t="shared" si="18"/>
        <v>Sailboard (Fin) Motion 999</v>
      </c>
      <c r="Q86" s="3" t="str">
        <f t="shared" si="19"/>
        <v/>
      </c>
      <c r="R86" s="3" t="str">
        <f t="shared" si="20"/>
        <v/>
      </c>
    </row>
  </sheetData>
  <autoFilter ref="A1:R86" xr:uid="{F6066FD3-C540-449E-A841-C1FB8B248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George</cp:lastModifiedBy>
  <dcterms:created xsi:type="dcterms:W3CDTF">2026-09-25T08:15:24Z</dcterms:created>
  <dcterms:modified xsi:type="dcterms:W3CDTF">2026-09-25T08:37:48Z</dcterms:modified>
</cp:coreProperties>
</file>